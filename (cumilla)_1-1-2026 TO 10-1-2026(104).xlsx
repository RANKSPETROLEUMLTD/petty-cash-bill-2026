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office file\petty cash bill\1-1-2026 to 31-12-2026\1-1-2026 TO 31-1-2026\1-1-2025 TO 10-1-2026\"/>
    </mc:Choice>
  </mc:AlternateContent>
  <xr:revisionPtr revIDLastSave="0" documentId="13_ncr:1_{AA874E92-B60F-488C-9C08-D7552DFEACC4}" xr6:coauthVersionLast="47" xr6:coauthVersionMax="47" xr10:uidLastSave="{00000000-0000-0000-0000-000000000000}"/>
  <bookViews>
    <workbookView xWindow="-110" yWindow="-110" windowWidth="19420" windowHeight="10300" tabRatio="863" activeTab="5" xr2:uid="{00000000-000D-0000-FFFF-FFFF00000000}"/>
  </bookViews>
  <sheets>
    <sheet name="Front Page" sheetId="1" r:id="rId1"/>
    <sheet name="1. B2B- IPP" sheetId="2" state="hidden" r:id="rId2"/>
    <sheet name="2. B2C" sheetId="3" r:id="rId3"/>
    <sheet name="Goods Delivery Voucher" sheetId="19" r:id="rId4"/>
    <sheet name="Conveyance Voucher" sheetId="18" r:id="rId5"/>
    <sheet name="4. Goods Sending Expense" sheetId="5" r:id="rId6"/>
    <sheet name="3. B2B-Non Power" sheetId="4" state="hidden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6">'3. B2B-Non Power'!$3:$3</definedName>
    <definedName name="_xlnm.Print_Titles" localSheetId="5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4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20" l="1"/>
  <c r="E30" i="20" l="1"/>
  <c r="J4" i="3"/>
  <c r="G42" i="18" l="1"/>
  <c r="L23" i="3" l="1"/>
  <c r="L24" i="3"/>
  <c r="L25" i="3"/>
  <c r="L26" i="3"/>
  <c r="L22" i="3"/>
  <c r="L20" i="3" l="1"/>
  <c r="L21" i="3"/>
  <c r="L18" i="3"/>
  <c r="L17" i="3" l="1"/>
  <c r="L19" i="3"/>
  <c r="L11" i="3"/>
  <c r="L12" i="3"/>
  <c r="L8" i="3"/>
  <c r="L9" i="3"/>
  <c r="L10" i="3"/>
  <c r="L13" i="3"/>
  <c r="D3" i="7" l="1"/>
  <c r="L6" i="3" l="1"/>
  <c r="L7" i="3"/>
  <c r="L14" i="3"/>
  <c r="L15" i="3"/>
  <c r="L16" i="3"/>
  <c r="L5" i="3"/>
  <c r="E4" i="3"/>
  <c r="H4" i="6"/>
  <c r="F4" i="6"/>
  <c r="G100" i="18"/>
  <c r="G84" i="18"/>
  <c r="L6" i="20"/>
  <c r="G69" i="18"/>
  <c r="E6" i="20"/>
  <c r="G8" i="18"/>
  <c r="H4" i="3"/>
  <c r="F4" i="3"/>
  <c r="D4" i="3"/>
  <c r="L46" i="3" l="1"/>
  <c r="L47" i="3"/>
  <c r="L48" i="3"/>
  <c r="L49" i="3"/>
  <c r="L50" i="3"/>
  <c r="L51" i="3"/>
  <c r="L52" i="3"/>
  <c r="L53" i="3"/>
  <c r="L54" i="3"/>
  <c r="G23" i="18"/>
  <c r="G20" i="19"/>
  <c r="E18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A17" i="19" s="1"/>
  <c r="G56" i="18" l="1"/>
  <c r="E2" i="10" l="1"/>
  <c r="C13" i="1" s="1"/>
  <c r="O35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D4" i="5"/>
  <c r="D26" i="1" s="1"/>
  <c r="K4" i="4"/>
  <c r="J4" i="4"/>
  <c r="I4" i="4"/>
  <c r="H4" i="4"/>
  <c r="F4" i="4"/>
  <c r="E4" i="4"/>
  <c r="K4" i="3"/>
  <c r="I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5" l="1"/>
  <c r="C8" i="1" s="1"/>
  <c r="C6" i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<sst xmlns="http://schemas.openxmlformats.org/spreadsheetml/2006/main" count="886" uniqueCount="246">
  <si>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</si>
  <si>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</si>
  <si>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</si>
  <si>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</si>
  <si>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</si>
  <si>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</si>
  <si>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</si>
  <si>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</si>
  <si>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</si>
  <si>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</si>
  <si>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</si>
  <si>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</si>
  <si>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</si>
  <si>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</si>
  <si>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</si>
  <si>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</si>
  <si>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</si>
  <si>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</si>
  <si>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</si>
  <si>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</si>
  <si>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</si>
  <si>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</si>
  <si>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</si>
  <si>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</si>
  <si>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</si>
  <si>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</si>
  <si>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</si>
  <si>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</si>
  <si>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</si>
  <si>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</si>
  <si>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</si>
  <si>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</si>
  <si>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</si>
  <si>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</si>
  <si>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</si>
  <si>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</si>
  <si>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</si>
  <si>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</si>
  <si>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</si>
  <si>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</si>
  <si>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</si>
  <si>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</si>
  <si>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</si>
  <si>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</si>
  <si>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</si>
  <si>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</si>
  <si>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</si>
  <si>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</si>
  <si>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</si>
  <si>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</si>
  <si>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</si>
  <si>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</si>
  <si>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</si>
  <si>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</si>
  <si>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</si>
  <si>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</si>
  <si>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</si>
  <si>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</si>
  <si>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</si>
  <si>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</si>
  <si>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</si>
  <si>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</si>
  <si>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</si>
  <si>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</si>
  <si>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</si>
  <si>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</si>
  <si>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</si>
  <si>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</si>
  <si>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</si>
  <si>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</si>
  <si>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</si>
  <si>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</si>
  <si>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</si>
  <si>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</si>
  <si>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</si>
  <si>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</si>
  <si>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</si>
  <si>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</si>
  <si>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</si>
  <si>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</si>
  <si>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</si>
  <si>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</si>
  <si>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</si>
  <si>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</si>
  <si>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</si>
  <si>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</si>
  <si>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</si>
  <si>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</si>
  <si>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</si>
  <si>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</si>
  <si>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</si>
  <si>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</si>
  <si>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</si>
  <si>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</si>
  <si>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</si>
  <si>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</si>
  <si>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</si>
  <si>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</si>
  <si>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</si>
  <si>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</si>
  <si>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</si>
  <si>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</si>
  <si>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</si>
  <si>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</si>
  <si>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</si>
  <si>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</si>
  <si>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</si>
  <si>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</si>
  <si>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</si>
  <si>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</si>
  <si>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</si>
  <si>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</si>
  <si>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</si>
  <si>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</si>
  <si>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</si>
  <si>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</si>
  <si>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</si>
  <si>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</si>
  <si>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</si>
  <si>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</si>
  <si>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</si>
  <si>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</si>
  <si>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</si>
  <si>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</si>
  <si>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</si>
  <si>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</si>
  <si>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</si>
  <si>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</si>
  <si>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</si>
  <si>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</si>
  <si>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</si>
  <si>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</si>
  <si>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</si>
  <si>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</si>
  <si>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</si>
  <si>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</si>
  <si>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</si>
  <si>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</si>
  <si>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</si>
  <si>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</si>
  <si>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</si>
  <si>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</si>
  <si>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</si>
  <si>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</si>
  <si>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</si>
  <si>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</si>
  <si>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</si>
  <si>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</si>
  <si>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</si>
  <si>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</si>
  <si>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</si>
  <si>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</si>
  <si>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</si>
  <si>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</si>
  <si>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</si>
  <si>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</si>
  <si>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</si>
  <si>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</si>
  <si>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</si>
  <si>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</si>
  <si>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</si>
  <si>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</si>
  <si>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</si>
  <si>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</si>
  <si>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</si>
  <si>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Goods Sending</t>
  </si>
  <si>
    <t>rafi</t>
  </si>
  <si>
    <t>Bill No: Cum/104/jan'2026</t>
  </si>
  <si>
    <t>rafi,sohel,arif,shah alam</t>
  </si>
  <si>
    <t>shah alam &amp; sohel &amp; rafi</t>
  </si>
  <si>
    <t xml:space="preserve">097464	</t>
  </si>
  <si>
    <t>Jogajog Automobiles</t>
  </si>
  <si>
    <t>shah alam &amp; rafi</t>
  </si>
  <si>
    <t>097506</t>
  </si>
  <si>
    <t xml:space="preserve">	
M/S MA MOTORS</t>
  </si>
  <si>
    <t xml:space="preserve">097590	</t>
  </si>
  <si>
    <t>one day labour bill</t>
  </si>
  <si>
    <t>cumilla depot</t>
  </si>
  <si>
    <t>rope</t>
  </si>
  <si>
    <t xml:space="preserve">097252	</t>
  </si>
  <si>
    <t>M A Enterprise</t>
  </si>
  <si>
    <t xml:space="preserve">097381	</t>
  </si>
  <si>
    <t>M/S Shava Engineering Automobile</t>
  </si>
  <si>
    <t>shal alam &amp; rafi</t>
  </si>
  <si>
    <t>Rubel Honda Servicing</t>
  </si>
  <si>
    <t>Maa harisa parts stor</t>
  </si>
  <si>
    <t>M/S MA MOTORS</t>
  </si>
  <si>
    <t>Ashfak plaza, 768 main road, maijdee bazar, Noakhali,MOZUMDER MARKET PODDAR BAZAR BISHO ROAD</t>
  </si>
  <si>
    <t xml:space="preserve">097787	</t>
  </si>
  <si>
    <t xml:space="preserve">097571	</t>
  </si>
  <si>
    <t>Alam Brothers</t>
  </si>
  <si>
    <t xml:space="preserve">		
Mayar Dowa Motors</t>
  </si>
  <si>
    <t>Khulna depot</t>
  </si>
  <si>
    <t>chattagram warehouse</t>
  </si>
  <si>
    <t>rafi &amp; sohel</t>
  </si>
  <si>
    <t>gift</t>
  </si>
  <si>
    <t>sohel</t>
  </si>
  <si>
    <t>petty cash bill &amp; nitol motors document</t>
  </si>
  <si>
    <t>1.01.2026- 10.01.2026</t>
  </si>
  <si>
    <t>Khan Motors Parts</t>
  </si>
  <si>
    <t>Nitol Motors Ltd.</t>
  </si>
  <si>
    <t>Ayesha Auto Mobiles</t>
  </si>
  <si>
    <t>M/S Modina Motors</t>
  </si>
  <si>
    <t>gift items received</t>
  </si>
  <si>
    <t>Nur Auto</t>
  </si>
  <si>
    <t>Sami Sadi Engineering</t>
  </si>
  <si>
    <t>Takiya motors</t>
  </si>
  <si>
    <t>New Abu Taher Auto</t>
  </si>
  <si>
    <t>toilet tissue,koil</t>
  </si>
  <si>
    <t>ledger book</t>
  </si>
  <si>
    <t>MOZUMDER MARKET PODDAR BAZAR BISHO ROAD</t>
  </si>
  <si>
    <t>truck</t>
  </si>
  <si>
    <t xml:space="preserve">	
Sarail, Vishwa Road, B-Baria	,ashuganj. b baria	</t>
  </si>
  <si>
    <t>bus auto,cng</t>
  </si>
  <si>
    <t>Ashfak plaza, 768 main road, maijdee bazar, Noakhali</t>
  </si>
  <si>
    <t>97718</t>
  </si>
  <si>
    <t>beside of hi School, kankirhat bazar,senbug,Noakhali</t>
  </si>
  <si>
    <t>Stadium market,Sadar,Chandpur</t>
  </si>
  <si>
    <t xml:space="preserve">Bus station, Raipur, Laximpur	</t>
  </si>
  <si>
    <t>97757</t>
  </si>
  <si>
    <t>Mynamoti Cumilla</t>
  </si>
  <si>
    <t>bus auto</t>
  </si>
  <si>
    <t>97861</t>
  </si>
  <si>
    <t>97803</t>
  </si>
  <si>
    <t>Korikandi bazar, Titas, Cumilla,Banshgari Steel Bridge, Bancharampur, B-Baria</t>
  </si>
  <si>
    <t>97930</t>
  </si>
  <si>
    <t>suagonj bazar,under Robi tower,sadar dokkhin, Cumilla.</t>
  </si>
  <si>
    <t>97960</t>
  </si>
  <si>
    <t>Gowripur Bus stand, daudkandi, comilla</t>
  </si>
  <si>
    <t>97972</t>
  </si>
  <si>
    <t>98010</t>
  </si>
  <si>
    <t xml:space="preserve">098005	</t>
  </si>
  <si>
    <t>Bilbari,Hajigonj, Chandpur,Chatkhil bazar, Chatkhil, Noakhali</t>
  </si>
  <si>
    <t>ashuganj. b baria</t>
  </si>
  <si>
    <t xml:space="preserve"> kankirhat bazar,senbug,Noakhali</t>
  </si>
  <si>
    <t>Steel Bridge, Bancharampur, B-Baria</t>
  </si>
  <si>
    <t>Chatkhil bazar, Chatkhil, Noakhali</t>
  </si>
  <si>
    <t>2 person food</t>
  </si>
  <si>
    <t>DO Number</t>
  </si>
  <si>
    <t>97464</t>
  </si>
  <si>
    <t>sarif &amp; saiful</t>
  </si>
  <si>
    <t>products processing</t>
  </si>
  <si>
    <t>The MRP sticker and QR sticker, crasecart are pasted on the carton</t>
  </si>
  <si>
    <t>Leger Book</t>
  </si>
  <si>
    <t>Month:  Jan-2026</t>
  </si>
  <si>
    <t>courier,labour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</si>
</sst>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Times New Roman"/>
      <family val="1"/>
    </font>
    <font>
      <b/>
      <sz val="16"/>
      <name val="Tahoma"/>
      <family val="2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9">
    <xf numFmtId="0" fontId="0" fillId="0" borderId="0" xfId="0"/>
    <xf numFmtId="0" fontId="4" fillId="0" borderId="3" xfId="0" applyFont="1" applyBorder="1" applyAlignment="1" applyProtection="1">
      <alignment horizontal="center" vertical="center"/>
      <protection locked="0"/>
    </xf>
    <xf numFmtId="43" fontId="4" fillId="0" borderId="3" xfId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right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4" fontId="9" fillId="2" borderId="3" xfId="0" applyNumberFormat="1" applyFont="1" applyFill="1" applyBorder="1" applyAlignment="1" applyProtection="1">
      <alignment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vertical="center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164" fontId="10" fillId="4" borderId="13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5" fontId="11" fillId="0" borderId="3" xfId="0" applyNumberFormat="1" applyFont="1" applyBorder="1" applyAlignment="1" applyProtection="1">
      <alignment horizontal="left" wrapText="1"/>
      <protection locked="0"/>
    </xf>
    <xf numFmtId="0" fontId="12" fillId="0" borderId="3" xfId="0" applyFont="1" applyBorder="1" applyAlignment="1" applyProtection="1">
      <alignment wrapText="1"/>
      <protection locked="0"/>
    </xf>
    <xf numFmtId="0" fontId="12" fillId="0" borderId="3" xfId="0" applyFont="1" applyBorder="1" applyAlignment="1" applyProtection="1">
      <alignment horizontal="center"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5" borderId="3" xfId="0" applyFont="1" applyFill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5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0" fontId="10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64" fontId="21" fillId="0" borderId="13" xfId="0" applyNumberFormat="1" applyFont="1" applyBorder="1" applyAlignment="1" applyProtection="1">
      <alignment horizontal="center"/>
      <protection locked="0"/>
    </xf>
    <xf numFmtId="0" fontId="21" fillId="0" borderId="13" xfId="0" applyFont="1" applyBorder="1" applyAlignment="1" applyProtection="1">
      <alignment horizontal="center"/>
      <protection locked="0"/>
    </xf>
    <xf numFmtId="164" fontId="17" fillId="0" borderId="3" xfId="0" applyNumberFormat="1" applyFont="1" applyBorder="1" applyProtection="1">
      <protection locked="0"/>
    </xf>
    <xf numFmtId="0" fontId="17" fillId="0" borderId="3" xfId="0" applyFont="1" applyBorder="1" applyProtection="1"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2" fillId="3" borderId="13" xfId="0" applyFont="1" applyFill="1" applyBorder="1" applyAlignment="1">
      <alignment horizontal="center" vertical="center"/>
    </xf>
    <xf numFmtId="164" fontId="21" fillId="7" borderId="3" xfId="0" applyNumberFormat="1" applyFont="1" applyFill="1" applyBorder="1" applyAlignment="1" applyProtection="1">
      <alignment horizontal="center"/>
      <protection locked="0"/>
    </xf>
    <xf numFmtId="0" fontId="21" fillId="7" borderId="3" xfId="0" applyFont="1" applyFill="1" applyBorder="1" applyAlignment="1" applyProtection="1">
      <alignment horizontal="center"/>
      <protection locked="0"/>
    </xf>
    <xf numFmtId="0" fontId="17" fillId="2" borderId="3" xfId="0" applyFont="1" applyFill="1" applyBorder="1" applyAlignment="1" applyProtection="1">
      <alignment horizontal="center" vertical="center"/>
      <protection locked="0"/>
    </xf>
    <xf numFmtId="0" fontId="21" fillId="2" borderId="3" xfId="0" applyFont="1" applyFill="1" applyBorder="1" applyAlignment="1" applyProtection="1">
      <alignment horizontal="center" vertical="center"/>
      <protection locked="0"/>
    </xf>
    <xf numFmtId="164" fontId="17" fillId="0" borderId="0" xfId="0" applyNumberFormat="1" applyFont="1" applyProtection="1">
      <protection locked="0"/>
    </xf>
    <xf numFmtId="0" fontId="21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4" fillId="4" borderId="3" xfId="0" applyFont="1" applyFill="1" applyBorder="1" applyAlignment="1">
      <alignment horizontal="center"/>
    </xf>
    <xf numFmtId="0" fontId="21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5" fillId="0" borderId="0" xfId="0" applyFont="1"/>
    <xf numFmtId="0" fontId="25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5" fillId="0" borderId="11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vertical="center"/>
    </xf>
    <xf numFmtId="164" fontId="9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5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2" fillId="0" borderId="3" xfId="0" applyFont="1" applyBorder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8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29" fillId="2" borderId="3" xfId="0" applyNumberFormat="1" applyFont="1" applyFill="1" applyBorder="1" applyProtection="1">
      <protection locked="0"/>
    </xf>
    <xf numFmtId="0" fontId="29" fillId="2" borderId="3" xfId="0" applyFont="1" applyFill="1" applyBorder="1" applyAlignment="1" applyProtection="1">
      <alignment wrapText="1"/>
      <protection locked="0"/>
    </xf>
    <xf numFmtId="0" fontId="29" fillId="2" borderId="3" xfId="0" applyFont="1" applyFill="1" applyBorder="1" applyProtection="1">
      <protection locked="0"/>
    </xf>
    <xf numFmtId="0" fontId="29" fillId="2" borderId="3" xfId="0" applyFont="1" applyFill="1" applyBorder="1" applyAlignment="1" applyProtection="1">
      <alignment horizontal="center"/>
      <protection locked="0"/>
    </xf>
    <xf numFmtId="164" fontId="29" fillId="0" borderId="3" xfId="0" applyNumberFormat="1" applyFont="1" applyBorder="1" applyAlignment="1" applyProtection="1">
      <alignment wrapText="1"/>
      <protection locked="0"/>
    </xf>
    <xf numFmtId="0" fontId="29" fillId="2" borderId="3" xfId="0" applyFont="1" applyFill="1" applyBorder="1" applyAlignment="1" applyProtection="1">
      <alignment horizontal="left" vertical="center" wrapText="1"/>
      <protection locked="0"/>
    </xf>
    <xf numFmtId="0" fontId="29" fillId="0" borderId="3" xfId="0" applyFont="1" applyBorder="1" applyProtection="1">
      <protection locked="0"/>
    </xf>
    <xf numFmtId="0" fontId="29" fillId="0" borderId="3" xfId="0" applyFont="1" applyBorder="1" applyAlignment="1" applyProtection="1">
      <alignment horizontal="center"/>
      <protection locked="0"/>
    </xf>
    <xf numFmtId="164" fontId="30" fillId="0" borderId="3" xfId="0" applyNumberFormat="1" applyFont="1" applyBorder="1" applyProtection="1"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7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5" fillId="0" borderId="6" xfId="0" applyFont="1" applyBorder="1"/>
    <xf numFmtId="165" fontId="0" fillId="0" borderId="3" xfId="0" applyNumberFormat="1" applyBorder="1"/>
    <xf numFmtId="165" fontId="32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0" fontId="4" fillId="0" borderId="3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43" fontId="5" fillId="0" borderId="3" xfId="1" applyFont="1" applyBorder="1" applyAlignment="1" applyProtection="1">
      <alignment horizontal="center" vertical="center"/>
    </xf>
    <xf numFmtId="43" fontId="4" fillId="0" borderId="3" xfId="1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43" fontId="4" fillId="0" borderId="29" xfId="1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vertical="center"/>
      <protection locked="0"/>
    </xf>
    <xf numFmtId="0" fontId="5" fillId="0" borderId="22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right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0" fillId="2" borderId="13" xfId="0" applyFont="1" applyFill="1" applyBorder="1" applyAlignment="1">
      <alignment horizontal="center" vertical="center"/>
    </xf>
    <xf numFmtId="0" fontId="0" fillId="2" borderId="0" xfId="0" applyFill="1"/>
    <xf numFmtId="0" fontId="26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164" fontId="10" fillId="2" borderId="13" xfId="0" applyNumberFormat="1" applyFont="1" applyFill="1" applyBorder="1" applyAlignment="1">
      <alignment horizontal="center" vertical="center"/>
    </xf>
    <xf numFmtId="0" fontId="34" fillId="0" borderId="3" xfId="0" applyFont="1" applyBorder="1" applyAlignment="1" applyProtection="1">
      <alignment horizontal="center" wrapText="1"/>
      <protection locked="0"/>
    </xf>
    <xf numFmtId="0" fontId="34" fillId="0" borderId="3" xfId="0" applyFont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0" fontId="2" fillId="0" borderId="35" xfId="0" applyFont="1" applyBorder="1" applyAlignment="1">
      <alignment horizontal="center" vertical="center"/>
    </xf>
    <xf numFmtId="165" fontId="32" fillId="9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6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7" fillId="2" borderId="3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49" fontId="12" fillId="0" borderId="3" xfId="0" applyNumberFormat="1" applyFont="1" applyBorder="1" applyAlignment="1" applyProtection="1">
      <alignment wrapText="1"/>
      <protection locked="0"/>
    </xf>
    <xf numFmtId="0" fontId="7" fillId="2" borderId="3" xfId="0" applyFont="1" applyFill="1" applyBorder="1" applyAlignment="1">
      <alignment horizontal="center"/>
    </xf>
    <xf numFmtId="0" fontId="4" fillId="2" borderId="3" xfId="0" applyFont="1" applyFill="1" applyBorder="1" applyAlignment="1" applyProtection="1">
      <alignment horizontal="center"/>
      <protection locked="0"/>
    </xf>
    <xf numFmtId="0" fontId="7" fillId="2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/>
    </xf>
    <xf numFmtId="166" fontId="38" fillId="0" borderId="3" xfId="0" applyNumberFormat="1" applyFont="1" applyBorder="1" applyAlignment="1">
      <alignment horizontal="center" vertical="top"/>
    </xf>
    <xf numFmtId="0" fontId="0" fillId="0" borderId="3" xfId="0" applyBorder="1" applyAlignment="1" applyProtection="1">
      <alignment horizontal="right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4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7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39" fillId="0" borderId="3" xfId="0" applyNumberFormat="1" applyFont="1" applyBorder="1" applyAlignment="1">
      <alignment horizontal="center" vertical="top"/>
    </xf>
    <xf numFmtId="49" fontId="39" fillId="0" borderId="19" xfId="0" applyNumberFormat="1" applyFont="1" applyBorder="1" applyAlignment="1">
      <alignment horizontal="center" vertical="top"/>
    </xf>
    <xf numFmtId="49" fontId="39" fillId="0" borderId="19" xfId="0" applyNumberFormat="1" applyFont="1" applyBorder="1" applyAlignment="1">
      <alignment horizontal="center" vertical="top" wrapText="1"/>
    </xf>
    <xf numFmtId="164" fontId="4" fillId="2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37" fillId="2" borderId="3" xfId="0" applyFont="1" applyFill="1" applyBorder="1" applyAlignment="1" applyProtection="1">
      <alignment horizontal="center" wrapText="1"/>
      <protection locked="0"/>
    </xf>
    <xf numFmtId="15" fontId="4" fillId="2" borderId="3" xfId="0" applyNumberFormat="1" applyFont="1" applyFill="1" applyBorder="1" applyAlignment="1" applyProtection="1">
      <alignment horizontal="center" wrapText="1"/>
      <protection locked="0"/>
    </xf>
    <xf numFmtId="0" fontId="37" fillId="2" borderId="19" xfId="0" applyFont="1" applyFill="1" applyBorder="1" applyAlignment="1" applyProtection="1">
      <alignment horizontal="center" wrapText="1"/>
      <protection locked="0"/>
    </xf>
    <xf numFmtId="0" fontId="37" fillId="9" borderId="3" xfId="0" applyFont="1" applyFill="1" applyBorder="1" applyAlignment="1" applyProtection="1">
      <alignment horizontal="center" vertical="center" wrapText="1"/>
      <protection locked="0"/>
    </xf>
    <xf numFmtId="15" fontId="4" fillId="2" borderId="18" xfId="0" applyNumberFormat="1" applyFont="1" applyFill="1" applyBorder="1" applyAlignment="1" applyProtection="1">
      <alignment horizontal="center" wrapText="1"/>
      <protection locked="0"/>
    </xf>
    <xf numFmtId="0" fontId="37" fillId="0" borderId="18" xfId="0" applyFont="1" applyBorder="1" applyAlignment="1" applyProtection="1">
      <alignment horizontal="center" wrapText="1"/>
      <protection locked="0"/>
    </xf>
    <xf numFmtId="0" fontId="37" fillId="0" borderId="30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0" fontId="37" fillId="0" borderId="32" xfId="0" applyFont="1" applyBorder="1" applyAlignment="1" applyProtection="1">
      <alignment horizontal="center" vertical="center" wrapText="1"/>
      <protection locked="0"/>
    </xf>
    <xf numFmtId="0" fontId="37" fillId="0" borderId="18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37" fillId="0" borderId="19" xfId="0" applyFont="1" applyBorder="1" applyAlignment="1" applyProtection="1">
      <alignment horizontal="center" wrapText="1"/>
      <protection locked="0"/>
    </xf>
    <xf numFmtId="0" fontId="37" fillId="0" borderId="2" xfId="0" applyFont="1" applyBorder="1" applyAlignment="1" applyProtection="1">
      <alignment horizontal="center" vertical="center" wrapText="1"/>
      <protection locked="0"/>
    </xf>
    <xf numFmtId="0" fontId="37" fillId="0" borderId="3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/>
    </xf>
    <xf numFmtId="165" fontId="7" fillId="2" borderId="3" xfId="0" applyNumberFormat="1" applyFont="1" applyFill="1" applyBorder="1" applyAlignment="1">
      <alignment horizontal="center" vertical="center" wrapText="1"/>
    </xf>
    <xf numFmtId="49" fontId="39" fillId="0" borderId="3" xfId="0" applyNumberFormat="1" applyFont="1" applyBorder="1" applyAlignment="1">
      <alignment horizontal="center" vertical="top" wrapText="1"/>
    </xf>
    <xf numFmtId="165" fontId="32" fillId="9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37" fillId="2" borderId="13" xfId="0" applyFont="1" applyFill="1" applyBorder="1" applyAlignment="1" applyProtection="1">
      <alignment horizontal="center" vertical="center" wrapText="1"/>
      <protection locked="0"/>
    </xf>
    <xf numFmtId="0" fontId="37" fillId="2" borderId="18" xfId="0" applyFont="1" applyFill="1" applyBorder="1" applyAlignment="1" applyProtection="1">
      <alignment horizontal="center" vertical="center" wrapText="1"/>
      <protection locked="0"/>
    </xf>
    <xf numFmtId="0" fontId="37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0" borderId="22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23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3" fontId="41" fillId="0" borderId="19" xfId="1" applyFont="1" applyBorder="1" applyAlignment="1" applyProtection="1">
      <alignment horizontal="center" vertical="center" wrapText="1"/>
      <protection locked="0"/>
    </xf>
    <xf numFmtId="43" fontId="41" fillId="0" borderId="2" xfId="1" applyFont="1" applyBorder="1" applyAlignment="1" applyProtection="1">
      <alignment horizontal="center" vertical="center" wrapText="1"/>
      <protection locked="0"/>
    </xf>
    <xf numFmtId="43" fontId="41" fillId="2" borderId="3" xfId="1" applyFont="1" applyFill="1" applyBorder="1" applyAlignment="1" applyProtection="1">
      <alignment horizontal="center" vertical="center" wrapText="1"/>
      <protection locked="0"/>
    </xf>
    <xf numFmtId="43" fontId="41" fillId="2" borderId="3" xfId="1" applyFont="1" applyFill="1" applyBorder="1" applyAlignment="1" applyProtection="1">
      <alignment horizontal="left" vertical="center" wrapText="1"/>
      <protection locked="0"/>
    </xf>
    <xf numFmtId="41" fontId="4" fillId="0" borderId="3" xfId="1" applyNumberFormat="1" applyFont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view="pageBreakPreview" zoomScale="78" zoomScaleNormal="112" zoomScaleSheetLayoutView="78" workbookViewId="0">
      <selection activeCell="D12" sqref="D12"/>
    </sheetView>
  </sheetViews>
  <sheetFormatPr defaultRowHeight="14.5" x14ac:dyDescent="0.35"/>
  <cols>
    <col min="1" max="1" width="24.7265625" customWidth="1"/>
    <col min="2" max="2" width="42.26953125" customWidth="1"/>
    <col min="3" max="3" width="34.81640625" style="47" bestFit="1" customWidth="1"/>
    <col min="4" max="4" width="76.81640625" customWidth="1"/>
  </cols>
  <sheetData>
    <row r="1" spans="1:4" ht="51" customHeight="1" x14ac:dyDescent="0.35">
      <c r="A1" s="330" t="s">
        <v>0</v>
      </c>
      <c r="B1" s="331"/>
      <c r="C1" s="331"/>
      <c r="D1" s="332"/>
    </row>
    <row r="2" spans="1:4" ht="22.5" x14ac:dyDescent="0.35">
      <c r="A2" s="432" t="s">
        <v>1</v>
      </c>
      <c r="B2" s="433"/>
      <c r="C2" s="434" t="s">
        <v>2</v>
      </c>
      <c r="D2" s="435" t="s">
        <v>198</v>
      </c>
    </row>
    <row r="3" spans="1:4" ht="20" x14ac:dyDescent="0.35">
      <c r="A3" s="4" t="s">
        <v>3</v>
      </c>
      <c r="B3" s="7" t="s">
        <v>119</v>
      </c>
      <c r="C3" s="8" t="s">
        <v>244</v>
      </c>
      <c r="D3" s="8" t="s">
        <v>167</v>
      </c>
    </row>
    <row r="4" spans="1:4" ht="33.75" customHeight="1" x14ac:dyDescent="0.35">
      <c r="A4" s="1" t="s">
        <v>4</v>
      </c>
      <c r="B4" s="1" t="s">
        <v>5</v>
      </c>
      <c r="C4" s="2" t="s">
        <v>6</v>
      </c>
      <c r="D4" s="225" t="s">
        <v>5</v>
      </c>
    </row>
    <row r="5" spans="1:4" ht="20" x14ac:dyDescent="0.35">
      <c r="A5" s="1">
        <v>1</v>
      </c>
      <c r="B5" s="3" t="s">
        <v>7</v>
      </c>
      <c r="C5" s="436">
        <f>'1. B2B- IPP'!M4</f>
        <v>0</v>
      </c>
      <c r="D5" s="437"/>
    </row>
    <row r="6" spans="1:4" ht="20" x14ac:dyDescent="0.35">
      <c r="A6" s="1">
        <v>2</v>
      </c>
      <c r="B6" s="3" t="s">
        <v>8</v>
      </c>
      <c r="C6" s="436">
        <f>'2. B2C'!L4</f>
        <v>17610</v>
      </c>
      <c r="D6" s="437" t="s">
        <v>130</v>
      </c>
    </row>
    <row r="7" spans="1:4" ht="20" x14ac:dyDescent="0.35">
      <c r="A7" s="1">
        <v>3</v>
      </c>
      <c r="B7" s="3" t="s">
        <v>9</v>
      </c>
      <c r="C7" s="436">
        <f>'3. B2B-Non Power'!L4</f>
        <v>0</v>
      </c>
      <c r="D7" s="437"/>
    </row>
    <row r="8" spans="1:4" ht="20" x14ac:dyDescent="0.35">
      <c r="A8" s="1">
        <v>4</v>
      </c>
      <c r="B8" s="3" t="s">
        <v>10</v>
      </c>
      <c r="C8" s="436">
        <f>'4. Goods Sending Expense'!L4</f>
        <v>2310</v>
      </c>
      <c r="D8" s="437" t="s">
        <v>152</v>
      </c>
    </row>
    <row r="9" spans="1:4" ht="20" x14ac:dyDescent="0.35">
      <c r="A9" s="1">
        <v>5</v>
      </c>
      <c r="B9" s="3" t="s">
        <v>11</v>
      </c>
      <c r="C9" s="436">
        <f>'5. Goods Receiving Expense'!L4</f>
        <v>700</v>
      </c>
      <c r="D9" s="437" t="s">
        <v>152</v>
      </c>
    </row>
    <row r="10" spans="1:4" ht="20" x14ac:dyDescent="0.35">
      <c r="A10" s="1">
        <v>6</v>
      </c>
      <c r="B10" s="3" t="s">
        <v>12</v>
      </c>
      <c r="C10" s="436">
        <f>'6.WH-Depot Maintenance'!D3</f>
        <v>1450</v>
      </c>
      <c r="D10" s="437" t="s">
        <v>245</v>
      </c>
    </row>
    <row r="11" spans="1:4" ht="20" x14ac:dyDescent="0.35">
      <c r="A11" s="1">
        <v>7</v>
      </c>
      <c r="B11" s="3" t="s">
        <v>13</v>
      </c>
      <c r="C11" s="436">
        <f>'7. Utilities'!F2</f>
        <v>0</v>
      </c>
      <c r="D11" s="437"/>
    </row>
    <row r="12" spans="1:4" ht="20" x14ac:dyDescent="0.35">
      <c r="A12" s="1">
        <v>8</v>
      </c>
      <c r="B12" s="3" t="s">
        <v>14</v>
      </c>
      <c r="C12" s="436">
        <f>'8. Printing'!E2</f>
        <v>0</v>
      </c>
      <c r="D12" s="437"/>
    </row>
    <row r="13" spans="1:4" ht="20" x14ac:dyDescent="0.35">
      <c r="A13" s="1">
        <v>9</v>
      </c>
      <c r="B13" s="3" t="s">
        <v>15</v>
      </c>
      <c r="C13" s="436">
        <f>'9. Stationary'!E2</f>
        <v>480</v>
      </c>
      <c r="D13" s="437" t="s">
        <v>243</v>
      </c>
    </row>
    <row r="14" spans="1:4" ht="20" x14ac:dyDescent="0.35">
      <c r="A14" s="1">
        <v>10</v>
      </c>
      <c r="B14" s="3" t="s">
        <v>16</v>
      </c>
      <c r="C14" s="436">
        <f>'10-11.Delivery Van Expense'!D2</f>
        <v>0</v>
      </c>
      <c r="D14" s="437"/>
    </row>
    <row r="15" spans="1:4" ht="20" x14ac:dyDescent="0.35">
      <c r="A15" s="1">
        <v>11</v>
      </c>
      <c r="B15" s="3" t="s">
        <v>17</v>
      </c>
      <c r="C15" s="436">
        <f>'10-11.Delivery Van Expense'!D13</f>
        <v>0</v>
      </c>
      <c r="D15" s="437"/>
    </row>
    <row r="16" spans="1:4" ht="20" x14ac:dyDescent="0.35">
      <c r="A16" s="1">
        <v>12</v>
      </c>
      <c r="B16" s="3" t="s">
        <v>18</v>
      </c>
      <c r="C16" s="436">
        <f>'12. Entertainment'!D2</f>
        <v>0</v>
      </c>
      <c r="D16" s="437"/>
    </row>
    <row r="17" spans="1:7" ht="20" x14ac:dyDescent="0.35">
      <c r="A17" s="1">
        <v>13</v>
      </c>
      <c r="B17" s="3" t="s">
        <v>19</v>
      </c>
      <c r="C17" s="436">
        <f>'13. Food Allowance'!D2</f>
        <v>0</v>
      </c>
      <c r="D17" s="437"/>
    </row>
    <row r="18" spans="1:7" ht="20" x14ac:dyDescent="0.35">
      <c r="A18" s="1">
        <v>14</v>
      </c>
      <c r="B18" s="3" t="s">
        <v>20</v>
      </c>
      <c r="C18" s="436">
        <f>'14. Conveyance'!D2</f>
        <v>150</v>
      </c>
      <c r="D18" s="437" t="s">
        <v>21</v>
      </c>
    </row>
    <row r="19" spans="1:7" ht="20" x14ac:dyDescent="0.35">
      <c r="A19" s="1">
        <v>15</v>
      </c>
      <c r="B19" s="3" t="s">
        <v>22</v>
      </c>
      <c r="C19" s="436">
        <f>'15. For Security'!D2</f>
        <v>0</v>
      </c>
      <c r="D19" s="438"/>
      <c r="G19" t="s">
        <v>128</v>
      </c>
    </row>
    <row r="20" spans="1:7" ht="20" x14ac:dyDescent="0.35">
      <c r="A20" s="1"/>
      <c r="B20" s="4" t="s">
        <v>23</v>
      </c>
      <c r="C20" s="436">
        <f>SUM(C5:C19)</f>
        <v>22700</v>
      </c>
      <c r="D20" s="438"/>
    </row>
    <row r="21" spans="1:7" ht="20.5" x14ac:dyDescent="0.35">
      <c r="A21" s="226"/>
      <c r="B21" s="227"/>
      <c r="C21" s="174"/>
      <c r="D21" s="228"/>
    </row>
    <row r="22" spans="1:7" ht="20.5" x14ac:dyDescent="0.35">
      <c r="A22" s="226"/>
      <c r="B22" s="229"/>
      <c r="C22" s="1" t="s">
        <v>24</v>
      </c>
      <c r="D22" s="2" t="s">
        <v>25</v>
      </c>
    </row>
    <row r="23" spans="1:7" ht="20.5" x14ac:dyDescent="0.35">
      <c r="A23" s="226"/>
      <c r="B23" s="227"/>
      <c r="C23" s="175" t="s">
        <v>26</v>
      </c>
      <c r="D23" s="230">
        <f>'1. B2B- IPP'!D4</f>
        <v>0</v>
      </c>
    </row>
    <row r="24" spans="1:7" ht="20.5" x14ac:dyDescent="0.35">
      <c r="A24" s="226"/>
      <c r="B24" s="227"/>
      <c r="C24" s="175" t="s">
        <v>8</v>
      </c>
      <c r="D24" s="230">
        <f>'2. B2C'!D4</f>
        <v>11631</v>
      </c>
    </row>
    <row r="25" spans="1:7" ht="20.5" x14ac:dyDescent="0.35">
      <c r="A25" s="226"/>
      <c r="B25" s="227"/>
      <c r="C25" s="175" t="s">
        <v>27</v>
      </c>
      <c r="D25" s="230">
        <f>'3. B2B-Non Power'!D4</f>
        <v>0</v>
      </c>
    </row>
    <row r="26" spans="1:7" ht="20.5" x14ac:dyDescent="0.35">
      <c r="A26" s="226"/>
      <c r="B26" s="227"/>
      <c r="C26" s="175" t="s">
        <v>10</v>
      </c>
      <c r="D26" s="230">
        <f>'4. Goods Sending Expense'!D4</f>
        <v>265</v>
      </c>
    </row>
    <row r="27" spans="1:7" ht="20.5" x14ac:dyDescent="0.35">
      <c r="A27" s="226"/>
      <c r="B27" s="227"/>
      <c r="C27" s="175" t="s">
        <v>28</v>
      </c>
      <c r="D27" s="230">
        <f>'5. Goods Receiving Expense'!D4</f>
        <v>5143</v>
      </c>
    </row>
    <row r="28" spans="1:7" ht="20.5" x14ac:dyDescent="0.35">
      <c r="A28" s="226"/>
      <c r="B28" s="227"/>
      <c r="C28" s="1" t="s">
        <v>29</v>
      </c>
      <c r="D28" s="231">
        <f>SUM(D23:D27)</f>
        <v>17039</v>
      </c>
    </row>
    <row r="29" spans="1:7" ht="20.5" x14ac:dyDescent="0.35">
      <c r="A29" s="226"/>
      <c r="B29" s="227"/>
      <c r="C29" s="232"/>
      <c r="D29" s="233"/>
    </row>
    <row r="30" spans="1:7" ht="20.5" x14ac:dyDescent="0.35">
      <c r="A30" s="226"/>
      <c r="B30" s="227"/>
      <c r="C30" s="232"/>
      <c r="D30" s="233"/>
    </row>
    <row r="31" spans="1:7" ht="20.5" x14ac:dyDescent="0.35">
      <c r="A31" s="226"/>
      <c r="B31" s="227"/>
      <c r="C31" s="232"/>
      <c r="D31" s="233"/>
    </row>
    <row r="32" spans="1:7" ht="20.5" x14ac:dyDescent="0.35">
      <c r="A32" s="226"/>
      <c r="B32" s="227"/>
      <c r="C32" s="232"/>
      <c r="D32" s="233"/>
    </row>
    <row r="33" spans="1:6" ht="20.5" x14ac:dyDescent="0.35">
      <c r="A33" s="226"/>
      <c r="B33" s="227"/>
      <c r="C33" s="232"/>
      <c r="D33" s="233"/>
    </row>
    <row r="34" spans="1:6" ht="20.5" x14ac:dyDescent="0.35">
      <c r="A34" s="226"/>
      <c r="B34" s="227"/>
      <c r="C34" s="6"/>
      <c r="D34" s="234"/>
    </row>
    <row r="35" spans="1:6" ht="20.5" x14ac:dyDescent="0.35">
      <c r="A35" s="226"/>
      <c r="B35" s="227"/>
      <c r="C35" s="6"/>
      <c r="D35" s="234"/>
    </row>
    <row r="36" spans="1:6" ht="20.5" x14ac:dyDescent="0.35">
      <c r="A36" s="226"/>
      <c r="B36" s="227"/>
      <c r="C36" s="6"/>
      <c r="D36" s="234"/>
    </row>
    <row r="37" spans="1:6" ht="20.5" x14ac:dyDescent="0.35">
      <c r="A37" s="235" t="s">
        <v>30</v>
      </c>
      <c r="B37" s="5" t="s">
        <v>82</v>
      </c>
      <c r="C37" s="5" t="s">
        <v>31</v>
      </c>
      <c r="D37" s="236" t="s">
        <v>133</v>
      </c>
      <c r="F37" s="6" t="s">
        <v>128</v>
      </c>
    </row>
    <row r="38" spans="1:6" ht="20.5" x14ac:dyDescent="0.35">
      <c r="A38" s="237"/>
      <c r="B38" s="6"/>
      <c r="C38" s="6"/>
      <c r="D38" s="238"/>
    </row>
    <row r="39" spans="1:6" ht="20.5" x14ac:dyDescent="0.35">
      <c r="A39" s="237"/>
      <c r="B39" s="6"/>
      <c r="C39" s="6"/>
      <c r="D39" s="238"/>
    </row>
    <row r="40" spans="1:6" ht="20.5" x14ac:dyDescent="0.35">
      <c r="A40" s="226"/>
      <c r="B40" s="227"/>
      <c r="C40" s="6"/>
      <c r="D40" s="234"/>
    </row>
    <row r="41" spans="1:6" ht="20.5" x14ac:dyDescent="0.35">
      <c r="A41" s="226"/>
      <c r="B41" s="227"/>
      <c r="C41" s="6"/>
      <c r="D41" s="234"/>
    </row>
    <row r="42" spans="1:6" ht="20.5" x14ac:dyDescent="0.35">
      <c r="A42" s="226"/>
      <c r="B42" s="227"/>
      <c r="C42" s="6"/>
      <c r="D42" s="234"/>
    </row>
    <row r="43" spans="1:6" ht="20.5" x14ac:dyDescent="0.35">
      <c r="A43" s="239"/>
      <c r="B43" s="227"/>
      <c r="C43" s="6" t="s">
        <v>143</v>
      </c>
      <c r="D43" s="234"/>
    </row>
    <row r="44" spans="1:6" ht="20.5" x14ac:dyDescent="0.35">
      <c r="A44" s="239" t="s">
        <v>134</v>
      </c>
      <c r="B44" s="240"/>
      <c r="C44" s="240" t="s">
        <v>32</v>
      </c>
      <c r="D44" s="241" t="s">
        <v>33</v>
      </c>
    </row>
  </sheetData>
  <mergeCells count="2">
    <mergeCell ref="A1:D1"/>
    <mergeCell ref="A2:B2"/>
  </mergeCells>
  <phoneticPr fontId="33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4.5" x14ac:dyDescent="0.35"/>
  <cols>
    <col min="1" max="1" width="9" customWidth="1"/>
    <col min="2" max="2" width="11.54296875" customWidth="1"/>
    <col min="3" max="3" width="14" bestFit="1" customWidth="1"/>
    <col min="8" max="8" width="11.453125" bestFit="1" customWidth="1"/>
    <col min="9" max="9" width="11.81640625" customWidth="1"/>
    <col min="10" max="10" width="9.453125" bestFit="1" customWidth="1"/>
    <col min="11" max="11" width="5.453125" customWidth="1"/>
    <col min="12" max="12" width="6.453125" bestFit="1" customWidth="1"/>
  </cols>
  <sheetData>
    <row r="1" spans="1:13" ht="21.5" thickBot="1" x14ac:dyDescent="0.4">
      <c r="A1" s="9"/>
      <c r="B1" s="9"/>
      <c r="C1" s="333" t="s">
        <v>34</v>
      </c>
      <c r="D1" s="334"/>
      <c r="E1" s="335"/>
      <c r="F1" s="10"/>
      <c r="G1" s="11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11"/>
      <c r="H2" s="336" t="s">
        <v>35</v>
      </c>
      <c r="I2" s="336"/>
      <c r="J2" s="336"/>
      <c r="K2" s="336"/>
      <c r="L2" s="336"/>
      <c r="M2" s="9"/>
    </row>
    <row r="3" spans="1:13" ht="52.5" thickBot="1" x14ac:dyDescent="0.4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" thickBot="1" x14ac:dyDescent="0.4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3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3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3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3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3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3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3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3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3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3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3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3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3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3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3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3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3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3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3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3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3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3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3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3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3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3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3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3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3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3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3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3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3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3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3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3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3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3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3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3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3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3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3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3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3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3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3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3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3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3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3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3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3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3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3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3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3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3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3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3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3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3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3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3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3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3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3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3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3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3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3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3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3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3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3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3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3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3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3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3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3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3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3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3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3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3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3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3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3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3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3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3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3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3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3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3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3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3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3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3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3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3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3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3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3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3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3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3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3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3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3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3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3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3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3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3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3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3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3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3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3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3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3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3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3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3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3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3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3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3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3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3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3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3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3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3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3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3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3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3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3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3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3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3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3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3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3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3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3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3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3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3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3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3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3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3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3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3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3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3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3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3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3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3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3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3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3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3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3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3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3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3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3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3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3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3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3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3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3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3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3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3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3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3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3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3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3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3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3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3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3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3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3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3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3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3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3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3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3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3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3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3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3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3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3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3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3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3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3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3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3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3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3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7"/>
  <sheetViews>
    <sheetView zoomScale="65" zoomScaleNormal="65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M7" sqref="M7"/>
    </sheetView>
  </sheetViews>
  <sheetFormatPr defaultRowHeight="21" x14ac:dyDescent="0.5"/>
  <cols>
    <col min="1" max="1" width="26.1796875" style="318" customWidth="1"/>
    <col min="2" max="2" width="22" style="301" customWidth="1"/>
    <col min="3" max="3" width="31.453125" style="301" bestFit="1" customWidth="1"/>
    <col min="4" max="4" width="24" style="281" customWidth="1"/>
    <col min="5" max="5" width="19.453125" style="291" customWidth="1"/>
    <col min="6" max="6" width="17.54296875" style="291" customWidth="1"/>
    <col min="7" max="7" width="22.54296875" style="291" customWidth="1"/>
    <col min="8" max="8" width="25.453125" style="291" customWidth="1"/>
    <col min="9" max="9" width="13.453125" style="301" customWidth="1"/>
    <col min="10" max="10" width="13.26953125" style="301" customWidth="1"/>
    <col min="11" max="11" width="13.1796875" style="301" customWidth="1"/>
    <col min="12" max="12" width="14.81640625" style="318" customWidth="1"/>
    <col min="13" max="16384" width="8.7265625" style="301"/>
  </cols>
  <sheetData>
    <row r="1" spans="1:14" x14ac:dyDescent="0.5">
      <c r="A1" s="343" t="s">
        <v>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</row>
    <row r="2" spans="1:14" x14ac:dyDescent="0.5">
      <c r="A2" s="297"/>
      <c r="B2" s="1"/>
      <c r="C2" s="298"/>
      <c r="D2" s="1"/>
      <c r="E2" s="299"/>
      <c r="F2" s="1"/>
      <c r="G2" s="343" t="s">
        <v>35</v>
      </c>
      <c r="H2" s="343"/>
      <c r="I2" s="343"/>
      <c r="J2" s="343"/>
      <c r="K2" s="343"/>
      <c r="L2" s="7"/>
    </row>
    <row r="3" spans="1:14" ht="40" x14ac:dyDescent="0.5">
      <c r="A3" s="266" t="s">
        <v>36</v>
      </c>
      <c r="B3" s="225" t="s">
        <v>37</v>
      </c>
      <c r="C3" s="284" t="s">
        <v>38</v>
      </c>
      <c r="D3" s="225" t="s">
        <v>39</v>
      </c>
      <c r="E3" s="287" t="s">
        <v>48</v>
      </c>
      <c r="F3" s="225" t="s">
        <v>49</v>
      </c>
      <c r="G3" s="225" t="s">
        <v>116</v>
      </c>
      <c r="H3" s="225" t="s">
        <v>50</v>
      </c>
      <c r="I3" s="225" t="s">
        <v>45</v>
      </c>
      <c r="J3" s="225" t="s">
        <v>46</v>
      </c>
      <c r="K3" s="225" t="s">
        <v>47</v>
      </c>
      <c r="L3" s="8" t="s">
        <v>23</v>
      </c>
    </row>
    <row r="4" spans="1:14" x14ac:dyDescent="0.5">
      <c r="A4" s="267"/>
      <c r="B4" s="268"/>
      <c r="C4" s="285"/>
      <c r="D4" s="268">
        <f>SUM(D5:D99)</f>
        <v>11631</v>
      </c>
      <c r="E4" s="288">
        <f>SUM(E5:E14)</f>
        <v>100</v>
      </c>
      <c r="F4" s="268">
        <f>SUM(F5:F99)</f>
        <v>15770</v>
      </c>
      <c r="G4" s="268"/>
      <c r="H4" s="268">
        <f>SUM(H5:H99)</f>
        <v>1340</v>
      </c>
      <c r="I4" s="268">
        <f>SUM(I6:I14)</f>
        <v>0</v>
      </c>
      <c r="J4" s="268">
        <f>SUM(J5:J112)</f>
        <v>400</v>
      </c>
      <c r="K4" s="268">
        <f>SUM(K6:K14)</f>
        <v>0</v>
      </c>
      <c r="L4" s="269">
        <f>SUM(E4,F4,H4,I4,J4,)</f>
        <v>17610</v>
      </c>
    </row>
    <row r="5" spans="1:14" s="274" customFormat="1" ht="57" customHeight="1" x14ac:dyDescent="0.35">
      <c r="A5" s="270">
        <v>46023</v>
      </c>
      <c r="B5" s="294" t="s">
        <v>170</v>
      </c>
      <c r="C5" s="296" t="s">
        <v>171</v>
      </c>
      <c r="D5" s="282">
        <v>2000</v>
      </c>
      <c r="E5" s="348">
        <v>100</v>
      </c>
      <c r="F5" s="346">
        <v>3800</v>
      </c>
      <c r="G5" s="344" t="s">
        <v>172</v>
      </c>
      <c r="H5" s="346"/>
      <c r="J5" s="274">
        <v>200</v>
      </c>
      <c r="L5" s="271">
        <f>SUM(F5:H5)</f>
        <v>3800</v>
      </c>
    </row>
    <row r="6" spans="1:14" s="276" customFormat="1" ht="40" x14ac:dyDescent="0.5">
      <c r="A6" s="270">
        <v>46023</v>
      </c>
      <c r="B6" s="294" t="s">
        <v>173</v>
      </c>
      <c r="C6" s="296" t="s">
        <v>174</v>
      </c>
      <c r="D6" s="282">
        <v>156</v>
      </c>
      <c r="E6" s="349"/>
      <c r="F6" s="347"/>
      <c r="G6" s="345"/>
      <c r="H6" s="347"/>
      <c r="I6" s="7"/>
      <c r="J6" s="274"/>
      <c r="K6" s="7"/>
      <c r="L6" s="271">
        <f t="shared" ref="L6:L26" si="0">SUM(F6:H6)</f>
        <v>0</v>
      </c>
    </row>
    <row r="7" spans="1:14" s="276" customFormat="1" ht="58" customHeight="1" x14ac:dyDescent="0.5">
      <c r="A7" s="270">
        <v>46025</v>
      </c>
      <c r="B7" s="281" t="s">
        <v>175</v>
      </c>
      <c r="C7" s="296" t="s">
        <v>174</v>
      </c>
      <c r="D7" s="290">
        <v>3800</v>
      </c>
      <c r="E7" s="289"/>
      <c r="F7" s="279">
        <v>1800</v>
      </c>
      <c r="G7" s="278" t="s">
        <v>172</v>
      </c>
      <c r="H7" s="279"/>
      <c r="I7" s="280"/>
      <c r="J7" s="280"/>
      <c r="K7" s="280"/>
      <c r="L7" s="271">
        <f t="shared" si="0"/>
        <v>1800</v>
      </c>
      <c r="M7" s="300"/>
      <c r="N7" s="300"/>
    </row>
    <row r="8" spans="1:14" s="276" customFormat="1" ht="58" customHeight="1" x14ac:dyDescent="0.5">
      <c r="A8" s="270">
        <v>46026</v>
      </c>
      <c r="B8" s="276" t="s">
        <v>179</v>
      </c>
      <c r="C8" s="302" t="s">
        <v>180</v>
      </c>
      <c r="D8" s="276">
        <v>160</v>
      </c>
      <c r="E8" s="289"/>
      <c r="F8" s="346">
        <v>1450</v>
      </c>
      <c r="G8" s="344" t="s">
        <v>127</v>
      </c>
      <c r="H8" s="346">
        <v>300</v>
      </c>
      <c r="I8" s="280"/>
      <c r="J8" s="280"/>
      <c r="K8" s="280"/>
      <c r="L8" s="271">
        <f t="shared" si="0"/>
        <v>1750</v>
      </c>
      <c r="M8" s="300"/>
      <c r="N8" s="300"/>
    </row>
    <row r="9" spans="1:14" s="276" customFormat="1" ht="67" customHeight="1" x14ac:dyDescent="0.5">
      <c r="A9" s="270">
        <v>46026</v>
      </c>
      <c r="B9" s="294" t="s">
        <v>181</v>
      </c>
      <c r="C9" s="296" t="s">
        <v>182</v>
      </c>
      <c r="D9" s="282">
        <v>72</v>
      </c>
      <c r="E9" s="289"/>
      <c r="F9" s="347"/>
      <c r="G9" s="345"/>
      <c r="H9" s="347"/>
      <c r="I9" s="280"/>
      <c r="J9" s="280"/>
      <c r="K9" s="280"/>
      <c r="L9" s="271">
        <f t="shared" si="0"/>
        <v>0</v>
      </c>
      <c r="M9" s="300"/>
      <c r="N9" s="300"/>
    </row>
    <row r="10" spans="1:14" s="276" customFormat="1" ht="48" customHeight="1" x14ac:dyDescent="0.5">
      <c r="A10" s="270">
        <v>46027</v>
      </c>
      <c r="B10" s="294" t="s">
        <v>170</v>
      </c>
      <c r="C10" s="296" t="s">
        <v>171</v>
      </c>
      <c r="D10" s="281">
        <v>1900</v>
      </c>
      <c r="E10" s="289"/>
      <c r="F10" s="271">
        <v>3800</v>
      </c>
      <c r="G10" s="271" t="s">
        <v>183</v>
      </c>
      <c r="H10" s="7"/>
      <c r="I10" s="7"/>
      <c r="J10" s="337">
        <v>200</v>
      </c>
      <c r="K10" s="7"/>
      <c r="L10" s="271">
        <f t="shared" si="0"/>
        <v>3800</v>
      </c>
    </row>
    <row r="11" spans="1:14" s="276" customFormat="1" ht="48" customHeight="1" x14ac:dyDescent="0.5">
      <c r="A11" s="270">
        <v>46027</v>
      </c>
      <c r="B11" s="294">
        <v>97702</v>
      </c>
      <c r="C11" s="296" t="s">
        <v>184</v>
      </c>
      <c r="D11" s="282">
        <v>27</v>
      </c>
      <c r="E11" s="289"/>
      <c r="F11" s="339">
        <v>100</v>
      </c>
      <c r="G11" s="339" t="s">
        <v>127</v>
      </c>
      <c r="H11" s="337">
        <v>200</v>
      </c>
      <c r="I11" s="7"/>
      <c r="J11" s="342"/>
      <c r="K11" s="7"/>
      <c r="L11" s="271">
        <f t="shared" si="0"/>
        <v>300</v>
      </c>
    </row>
    <row r="12" spans="1:14" s="276" customFormat="1" ht="48" customHeight="1" x14ac:dyDescent="0.5">
      <c r="A12" s="270">
        <v>46027</v>
      </c>
      <c r="B12" s="294" t="s">
        <v>215</v>
      </c>
      <c r="C12" s="296" t="s">
        <v>185</v>
      </c>
      <c r="D12" s="282">
        <v>13</v>
      </c>
      <c r="E12" s="289"/>
      <c r="F12" s="340"/>
      <c r="G12" s="340"/>
      <c r="H12" s="338"/>
      <c r="I12" s="7"/>
      <c r="J12" s="342"/>
      <c r="K12" s="7"/>
      <c r="L12" s="271">
        <f t="shared" si="0"/>
        <v>0</v>
      </c>
    </row>
    <row r="13" spans="1:14" s="276" customFormat="1" ht="70" customHeight="1" x14ac:dyDescent="0.5">
      <c r="A13" s="270">
        <v>46027</v>
      </c>
      <c r="B13" s="294" t="s">
        <v>173</v>
      </c>
      <c r="C13" s="296" t="s">
        <v>174</v>
      </c>
      <c r="D13" s="274">
        <v>2700</v>
      </c>
      <c r="E13" s="289"/>
      <c r="F13" s="339">
        <v>1700</v>
      </c>
      <c r="G13" s="339" t="s">
        <v>172</v>
      </c>
      <c r="H13" s="337"/>
      <c r="I13" s="7"/>
      <c r="J13" s="342"/>
      <c r="K13" s="7"/>
      <c r="L13" s="271">
        <f t="shared" si="0"/>
        <v>1700</v>
      </c>
    </row>
    <row r="14" spans="1:14" s="276" customFormat="1" ht="34.5" customHeight="1" x14ac:dyDescent="0.5">
      <c r="A14" s="270">
        <v>46027</v>
      </c>
      <c r="B14" s="294">
        <v>97708</v>
      </c>
      <c r="C14" s="295" t="s">
        <v>186</v>
      </c>
      <c r="D14" s="282">
        <v>16</v>
      </c>
      <c r="E14" s="289"/>
      <c r="F14" s="341"/>
      <c r="G14" s="341"/>
      <c r="H14" s="342"/>
      <c r="I14" s="7"/>
      <c r="J14" s="342"/>
      <c r="K14" s="7"/>
      <c r="L14" s="271">
        <f t="shared" si="0"/>
        <v>0</v>
      </c>
    </row>
    <row r="15" spans="1:14" s="276" customFormat="1" ht="34.5" customHeight="1" x14ac:dyDescent="0.5">
      <c r="A15" s="270">
        <v>46027</v>
      </c>
      <c r="B15" s="294">
        <v>97722</v>
      </c>
      <c r="C15" s="295" t="s">
        <v>186</v>
      </c>
      <c r="D15" s="282">
        <v>81</v>
      </c>
      <c r="E15" s="289"/>
      <c r="F15" s="340"/>
      <c r="G15" s="340"/>
      <c r="H15" s="338"/>
      <c r="I15" s="7"/>
      <c r="J15" s="338"/>
      <c r="K15" s="7"/>
      <c r="L15" s="271">
        <f t="shared" si="0"/>
        <v>0</v>
      </c>
    </row>
    <row r="16" spans="1:14" s="276" customFormat="1" ht="34.5" customHeight="1" x14ac:dyDescent="0.5">
      <c r="A16" s="270">
        <v>46028</v>
      </c>
      <c r="B16" s="294" t="s">
        <v>188</v>
      </c>
      <c r="C16" s="295" t="s">
        <v>190</v>
      </c>
      <c r="D16" s="282">
        <v>18</v>
      </c>
      <c r="E16" s="289"/>
      <c r="F16" s="271">
        <v>200</v>
      </c>
      <c r="G16" s="271" t="s">
        <v>127</v>
      </c>
      <c r="H16" s="7">
        <v>180</v>
      </c>
      <c r="I16" s="7"/>
      <c r="J16" s="7"/>
      <c r="K16" s="7"/>
      <c r="L16" s="271">
        <f t="shared" si="0"/>
        <v>380</v>
      </c>
    </row>
    <row r="17" spans="1:12" s="276" customFormat="1" ht="55" customHeight="1" x14ac:dyDescent="0.5">
      <c r="A17" s="270">
        <v>46028</v>
      </c>
      <c r="B17" s="294" t="s">
        <v>189</v>
      </c>
      <c r="C17" s="296" t="s">
        <v>191</v>
      </c>
      <c r="D17" s="282">
        <v>11</v>
      </c>
      <c r="E17" s="289"/>
      <c r="F17" s="271">
        <v>250</v>
      </c>
      <c r="G17" s="271" t="s">
        <v>166</v>
      </c>
      <c r="H17" s="7"/>
      <c r="I17" s="7"/>
      <c r="J17" s="7"/>
      <c r="K17" s="7"/>
      <c r="L17" s="271">
        <f t="shared" si="0"/>
        <v>250</v>
      </c>
    </row>
    <row r="18" spans="1:12" s="276" customFormat="1" ht="61.5" customHeight="1" x14ac:dyDescent="0.5">
      <c r="A18" s="270">
        <v>46028</v>
      </c>
      <c r="B18" s="294" t="s">
        <v>219</v>
      </c>
      <c r="C18" s="295" t="s">
        <v>200</v>
      </c>
      <c r="D18" s="282">
        <v>378</v>
      </c>
      <c r="E18" s="289"/>
      <c r="F18" s="271">
        <v>350</v>
      </c>
      <c r="G18" s="271" t="s">
        <v>172</v>
      </c>
      <c r="H18" s="7">
        <v>60</v>
      </c>
      <c r="I18" s="7"/>
      <c r="J18" s="7"/>
      <c r="K18" s="7"/>
      <c r="L18" s="271">
        <f t="shared" si="0"/>
        <v>410</v>
      </c>
    </row>
    <row r="19" spans="1:12" s="276" customFormat="1" ht="36" customHeight="1" x14ac:dyDescent="0.5">
      <c r="A19" s="270">
        <v>46029</v>
      </c>
      <c r="B19" s="294" t="s">
        <v>222</v>
      </c>
      <c r="C19" s="295" t="s">
        <v>199</v>
      </c>
      <c r="D19" s="276">
        <v>16</v>
      </c>
      <c r="E19" s="289"/>
      <c r="F19" s="339">
        <v>970</v>
      </c>
      <c r="G19" s="339" t="s">
        <v>127</v>
      </c>
      <c r="H19" s="337">
        <v>240</v>
      </c>
      <c r="I19" s="7"/>
      <c r="J19" s="7"/>
      <c r="K19" s="7"/>
      <c r="L19" s="271">
        <f t="shared" si="0"/>
        <v>1210</v>
      </c>
    </row>
    <row r="20" spans="1:12" s="276" customFormat="1" ht="27.75" customHeight="1" x14ac:dyDescent="0.5">
      <c r="A20" s="270">
        <v>46029</v>
      </c>
      <c r="B20" s="294" t="s">
        <v>223</v>
      </c>
      <c r="C20" s="295" t="s">
        <v>201</v>
      </c>
      <c r="D20" s="276">
        <v>82</v>
      </c>
      <c r="E20" s="289"/>
      <c r="F20" s="340"/>
      <c r="G20" s="340"/>
      <c r="H20" s="338"/>
      <c r="I20" s="7"/>
      <c r="J20" s="7"/>
      <c r="K20" s="7"/>
      <c r="L20" s="271">
        <f t="shared" si="0"/>
        <v>0</v>
      </c>
    </row>
    <row r="21" spans="1:12" s="276" customFormat="1" ht="38.5" customHeight="1" x14ac:dyDescent="0.5">
      <c r="A21" s="270">
        <v>46030</v>
      </c>
      <c r="B21" s="294" t="s">
        <v>225</v>
      </c>
      <c r="C21" s="295" t="s">
        <v>202</v>
      </c>
      <c r="D21" s="274">
        <v>26</v>
      </c>
      <c r="E21" s="289"/>
      <c r="F21" s="271">
        <v>140</v>
      </c>
      <c r="G21" s="271" t="s">
        <v>127</v>
      </c>
      <c r="H21" s="7">
        <v>60</v>
      </c>
      <c r="I21" s="7"/>
      <c r="J21" s="7"/>
      <c r="K21" s="7"/>
      <c r="L21" s="271">
        <f t="shared" si="0"/>
        <v>200</v>
      </c>
    </row>
    <row r="22" spans="1:12" s="276" customFormat="1" ht="50" customHeight="1" x14ac:dyDescent="0.5">
      <c r="A22" s="319">
        <v>46030</v>
      </c>
      <c r="B22" s="294" t="s">
        <v>227</v>
      </c>
      <c r="C22" s="320" t="s">
        <v>205</v>
      </c>
      <c r="D22" s="282">
        <v>58</v>
      </c>
      <c r="E22" s="289"/>
      <c r="F22" s="271">
        <v>250</v>
      </c>
      <c r="G22" s="271" t="s">
        <v>127</v>
      </c>
      <c r="H22" s="7">
        <v>100</v>
      </c>
      <c r="I22" s="7"/>
      <c r="J22" s="7"/>
      <c r="K22" s="7"/>
      <c r="L22" s="271">
        <f t="shared" si="0"/>
        <v>350</v>
      </c>
    </row>
    <row r="23" spans="1:12" s="276" customFormat="1" ht="40" customHeight="1" x14ac:dyDescent="0.5">
      <c r="A23" s="319">
        <v>46032</v>
      </c>
      <c r="B23" s="294" t="s">
        <v>229</v>
      </c>
      <c r="C23" s="320" t="s">
        <v>206</v>
      </c>
      <c r="D23" s="282">
        <v>80</v>
      </c>
      <c r="E23" s="289"/>
      <c r="F23" s="339">
        <v>960</v>
      </c>
      <c r="G23" s="339" t="s">
        <v>127</v>
      </c>
      <c r="H23" s="337">
        <v>200</v>
      </c>
      <c r="I23" s="277"/>
      <c r="J23" s="7"/>
      <c r="K23" s="277"/>
      <c r="L23" s="271">
        <f t="shared" si="0"/>
        <v>1160</v>
      </c>
    </row>
    <row r="24" spans="1:12" s="276" customFormat="1" ht="44" customHeight="1" x14ac:dyDescent="0.5">
      <c r="A24" s="319">
        <v>46032</v>
      </c>
      <c r="B24" s="294" t="s">
        <v>230</v>
      </c>
      <c r="C24" s="320" t="s">
        <v>207</v>
      </c>
      <c r="D24" s="282">
        <v>24</v>
      </c>
      <c r="E24" s="289"/>
      <c r="F24" s="341"/>
      <c r="G24" s="341"/>
      <c r="H24" s="342"/>
      <c r="I24" s="277"/>
      <c r="J24" s="7"/>
      <c r="K24" s="277"/>
      <c r="L24" s="271">
        <f t="shared" si="0"/>
        <v>0</v>
      </c>
    </row>
    <row r="25" spans="1:12" s="276" customFormat="1" ht="26.25" customHeight="1" x14ac:dyDescent="0.5">
      <c r="A25" s="319">
        <v>46032</v>
      </c>
      <c r="B25" s="320" t="s">
        <v>231</v>
      </c>
      <c r="C25" s="320" t="s">
        <v>204</v>
      </c>
      <c r="D25" s="282">
        <v>13</v>
      </c>
      <c r="E25" s="289"/>
      <c r="F25" s="340"/>
      <c r="G25" s="340"/>
      <c r="H25" s="338"/>
      <c r="I25" s="7"/>
      <c r="J25" s="7"/>
      <c r="K25" s="7"/>
      <c r="L25" s="271">
        <f t="shared" si="0"/>
        <v>0</v>
      </c>
    </row>
    <row r="26" spans="1:12" s="276" customFormat="1" ht="51.75" customHeight="1" x14ac:dyDescent="0.5">
      <c r="A26" s="270"/>
      <c r="C26" s="286"/>
      <c r="E26" s="289"/>
      <c r="F26" s="271"/>
      <c r="G26" s="271"/>
      <c r="H26" s="7"/>
      <c r="I26" s="277"/>
      <c r="J26" s="277"/>
      <c r="K26" s="277"/>
      <c r="L26" s="271">
        <f t="shared" si="0"/>
        <v>0</v>
      </c>
    </row>
    <row r="27" spans="1:12" s="276" customFormat="1" ht="53.25" customHeight="1" x14ac:dyDescent="0.5">
      <c r="A27" s="270"/>
      <c r="C27" s="286"/>
      <c r="E27" s="289"/>
      <c r="F27" s="271"/>
      <c r="G27" s="271"/>
      <c r="H27" s="7"/>
      <c r="I27" s="277"/>
      <c r="J27" s="277"/>
      <c r="K27" s="277"/>
      <c r="L27" s="271"/>
    </row>
    <row r="28" spans="1:12" s="276" customFormat="1" ht="55.5" customHeight="1" x14ac:dyDescent="0.5">
      <c r="A28" s="270"/>
      <c r="C28" s="286"/>
      <c r="E28" s="289"/>
      <c r="F28" s="271"/>
      <c r="G28" s="271"/>
      <c r="H28" s="7"/>
      <c r="I28" s="277"/>
      <c r="J28" s="277"/>
      <c r="K28" s="277"/>
      <c r="L28" s="271"/>
    </row>
    <row r="29" spans="1:12" s="276" customFormat="1" ht="51.75" customHeight="1" x14ac:dyDescent="0.5">
      <c r="A29" s="270"/>
      <c r="C29" s="286"/>
      <c r="E29" s="289"/>
      <c r="F29" s="271"/>
      <c r="G29" s="271"/>
      <c r="H29" s="7"/>
      <c r="I29" s="277"/>
      <c r="J29" s="277"/>
      <c r="K29" s="277"/>
      <c r="L29" s="271"/>
    </row>
    <row r="30" spans="1:12" s="276" customFormat="1" ht="33" customHeight="1" x14ac:dyDescent="0.5">
      <c r="A30" s="270"/>
      <c r="B30" s="303"/>
      <c r="C30" s="286"/>
      <c r="E30" s="289"/>
      <c r="F30" s="271"/>
      <c r="G30" s="271"/>
      <c r="H30" s="7"/>
      <c r="I30" s="277"/>
      <c r="J30" s="277"/>
      <c r="K30" s="277"/>
      <c r="L30" s="271"/>
    </row>
    <row r="31" spans="1:12" s="276" customFormat="1" ht="70.5" customHeight="1" x14ac:dyDescent="0.5">
      <c r="A31" s="270"/>
      <c r="B31" s="303"/>
      <c r="C31" s="286"/>
      <c r="E31" s="289"/>
      <c r="F31" s="271"/>
      <c r="G31" s="271"/>
      <c r="H31" s="7"/>
      <c r="I31" s="277"/>
      <c r="J31" s="277"/>
      <c r="K31" s="277"/>
      <c r="L31" s="271"/>
    </row>
    <row r="32" spans="1:12" s="276" customFormat="1" x14ac:dyDescent="0.5">
      <c r="A32" s="270"/>
      <c r="C32" s="302"/>
      <c r="D32" s="304"/>
      <c r="E32" s="289"/>
      <c r="F32" s="271"/>
      <c r="G32" s="271"/>
      <c r="H32" s="7"/>
      <c r="I32" s="277"/>
      <c r="J32" s="277"/>
      <c r="K32" s="277"/>
      <c r="L32" s="271"/>
    </row>
    <row r="33" spans="1:12" s="276" customFormat="1" x14ac:dyDescent="0.5">
      <c r="A33" s="305"/>
      <c r="B33" s="304"/>
      <c r="C33" s="306"/>
      <c r="D33" s="304"/>
      <c r="E33" s="289"/>
      <c r="F33" s="271"/>
      <c r="G33" s="271"/>
      <c r="H33" s="7"/>
      <c r="I33" s="277"/>
      <c r="J33" s="277"/>
      <c r="K33" s="277"/>
      <c r="L33" s="271"/>
    </row>
    <row r="34" spans="1:12" s="276" customFormat="1" x14ac:dyDescent="0.5">
      <c r="A34" s="305"/>
      <c r="B34" s="304"/>
      <c r="C34" s="306"/>
      <c r="D34" s="304"/>
      <c r="E34" s="289"/>
      <c r="F34" s="271"/>
      <c r="G34" s="271"/>
      <c r="H34" s="7"/>
      <c r="I34" s="277"/>
      <c r="J34" s="277"/>
      <c r="K34" s="277"/>
      <c r="L34" s="271"/>
    </row>
    <row r="35" spans="1:12" s="276" customFormat="1" x14ac:dyDescent="0.5">
      <c r="A35" s="305"/>
      <c r="B35" s="304"/>
      <c r="C35" s="306"/>
      <c r="D35" s="304"/>
      <c r="E35" s="289"/>
      <c r="F35" s="271"/>
      <c r="G35" s="271"/>
      <c r="H35" s="7"/>
      <c r="I35" s="277"/>
      <c r="J35" s="277"/>
      <c r="K35" s="277"/>
      <c r="L35" s="271"/>
    </row>
    <row r="36" spans="1:12" s="276" customFormat="1" x14ac:dyDescent="0.5">
      <c r="A36" s="305"/>
      <c r="B36" s="304"/>
      <c r="C36" s="306"/>
      <c r="D36" s="304"/>
      <c r="E36" s="289"/>
      <c r="F36" s="271"/>
      <c r="G36" s="271"/>
      <c r="H36" s="7"/>
      <c r="I36" s="277"/>
      <c r="J36" s="277"/>
      <c r="K36" s="277"/>
      <c r="L36" s="271"/>
    </row>
    <row r="37" spans="1:12" s="276" customFormat="1" x14ac:dyDescent="0.5">
      <c r="A37" s="305"/>
      <c r="B37" s="304"/>
      <c r="C37" s="306"/>
      <c r="D37" s="304"/>
      <c r="E37" s="289"/>
      <c r="F37" s="271"/>
      <c r="G37" s="271"/>
      <c r="H37" s="7"/>
      <c r="I37" s="277"/>
      <c r="J37" s="277"/>
      <c r="K37" s="277"/>
      <c r="L37" s="271"/>
    </row>
    <row r="38" spans="1:12" s="276" customFormat="1" x14ac:dyDescent="0.5">
      <c r="A38" s="305"/>
      <c r="B38" s="304"/>
      <c r="C38" s="306"/>
      <c r="D38" s="304"/>
      <c r="E38" s="289"/>
      <c r="F38" s="271"/>
      <c r="G38" s="271"/>
      <c r="H38" s="7"/>
      <c r="I38" s="277"/>
      <c r="J38" s="277"/>
      <c r="K38" s="277"/>
      <c r="L38" s="271"/>
    </row>
    <row r="39" spans="1:12" s="276" customFormat="1" x14ac:dyDescent="0.5">
      <c r="A39" s="305"/>
      <c r="B39" s="304"/>
      <c r="C39" s="306"/>
      <c r="D39" s="304"/>
      <c r="E39" s="289"/>
      <c r="F39" s="271"/>
      <c r="G39" s="271"/>
      <c r="H39" s="7"/>
      <c r="I39" s="277"/>
      <c r="J39" s="277"/>
      <c r="K39" s="277"/>
      <c r="L39" s="271"/>
    </row>
    <row r="40" spans="1:12" s="276" customFormat="1" x14ac:dyDescent="0.5">
      <c r="A40" s="305"/>
      <c r="B40" s="304"/>
      <c r="C40" s="306"/>
      <c r="D40" s="304"/>
      <c r="E40" s="289"/>
      <c r="F40" s="271"/>
      <c r="G40" s="271"/>
      <c r="H40" s="7"/>
      <c r="I40" s="277"/>
      <c r="J40" s="277"/>
      <c r="K40" s="277"/>
      <c r="L40" s="271"/>
    </row>
    <row r="41" spans="1:12" s="276" customFormat="1" x14ac:dyDescent="0.5">
      <c r="A41" s="305"/>
      <c r="B41" s="304"/>
      <c r="C41" s="306"/>
      <c r="D41" s="304"/>
      <c r="E41" s="289"/>
      <c r="F41" s="271"/>
      <c r="G41" s="271"/>
      <c r="H41" s="7"/>
      <c r="I41" s="277"/>
      <c r="J41" s="277"/>
      <c r="K41" s="277"/>
      <c r="L41" s="271"/>
    </row>
    <row r="42" spans="1:12" s="276" customFormat="1" x14ac:dyDescent="0.5">
      <c r="A42" s="305"/>
      <c r="B42" s="304"/>
      <c r="C42" s="306"/>
      <c r="D42" s="304"/>
      <c r="E42" s="289"/>
      <c r="F42" s="271"/>
      <c r="G42" s="271"/>
      <c r="H42" s="7"/>
      <c r="I42" s="277"/>
      <c r="J42" s="277"/>
      <c r="K42" s="277"/>
      <c r="L42" s="271"/>
    </row>
    <row r="43" spans="1:12" s="276" customFormat="1" x14ac:dyDescent="0.5">
      <c r="A43" s="305"/>
      <c r="B43" s="304"/>
      <c r="C43" s="306"/>
      <c r="D43" s="304"/>
      <c r="E43" s="289"/>
      <c r="F43" s="271"/>
      <c r="G43" s="271"/>
      <c r="H43" s="7"/>
      <c r="I43" s="277"/>
      <c r="J43" s="277"/>
      <c r="K43" s="277"/>
      <c r="L43" s="271"/>
    </row>
    <row r="44" spans="1:12" s="276" customFormat="1" x14ac:dyDescent="0.5">
      <c r="A44" s="305"/>
      <c r="B44" s="304"/>
      <c r="C44" s="306"/>
      <c r="D44" s="304"/>
      <c r="E44" s="289"/>
      <c r="F44" s="271"/>
      <c r="G44" s="271"/>
      <c r="H44" s="7"/>
      <c r="I44" s="277"/>
      <c r="J44" s="277"/>
      <c r="K44" s="277"/>
      <c r="L44" s="271"/>
    </row>
    <row r="45" spans="1:12" s="276" customFormat="1" x14ac:dyDescent="0.5">
      <c r="A45" s="305"/>
      <c r="B45" s="304"/>
      <c r="C45" s="306"/>
      <c r="D45" s="304"/>
      <c r="E45" s="289"/>
      <c r="F45" s="271"/>
      <c r="G45" s="271"/>
      <c r="H45" s="7"/>
      <c r="I45" s="277"/>
      <c r="J45" s="277"/>
      <c r="K45" s="277"/>
      <c r="L45" s="271"/>
    </row>
    <row r="46" spans="1:12" s="276" customFormat="1" x14ac:dyDescent="0.5">
      <c r="A46" s="305"/>
      <c r="B46" s="304"/>
      <c r="C46" s="306"/>
      <c r="D46" s="304"/>
      <c r="E46" s="289"/>
      <c r="F46" s="271"/>
      <c r="G46" s="271"/>
      <c r="H46" s="7"/>
      <c r="I46" s="277"/>
      <c r="J46" s="277"/>
      <c r="K46" s="277"/>
      <c r="L46" s="307">
        <f t="shared" ref="L46:L54" si="1">SUM(F46+H46)</f>
        <v>0</v>
      </c>
    </row>
    <row r="47" spans="1:12" s="276" customFormat="1" x14ac:dyDescent="0.5">
      <c r="A47" s="305"/>
      <c r="B47" s="304"/>
      <c r="C47" s="306"/>
      <c r="D47" s="304"/>
      <c r="E47" s="289"/>
      <c r="F47" s="271"/>
      <c r="G47" s="271"/>
      <c r="H47" s="7"/>
      <c r="I47" s="277"/>
      <c r="J47" s="277"/>
      <c r="K47" s="277"/>
      <c r="L47" s="307">
        <f t="shared" si="1"/>
        <v>0</v>
      </c>
    </row>
    <row r="48" spans="1:12" s="276" customFormat="1" x14ac:dyDescent="0.5">
      <c r="A48" s="305"/>
      <c r="B48" s="304"/>
      <c r="C48" s="306"/>
      <c r="D48" s="304"/>
      <c r="E48" s="289"/>
      <c r="F48" s="271"/>
      <c r="G48" s="271"/>
      <c r="H48" s="7"/>
      <c r="I48" s="277"/>
      <c r="J48" s="277"/>
      <c r="K48" s="277"/>
      <c r="L48" s="307">
        <f t="shared" si="1"/>
        <v>0</v>
      </c>
    </row>
    <row r="49" spans="1:12" s="276" customFormat="1" x14ac:dyDescent="0.5">
      <c r="A49" s="305"/>
      <c r="B49" s="304"/>
      <c r="C49" s="306"/>
      <c r="D49" s="304"/>
      <c r="E49" s="289"/>
      <c r="F49" s="271"/>
      <c r="G49" s="271"/>
      <c r="H49" s="7"/>
      <c r="I49" s="7"/>
      <c r="J49" s="7"/>
      <c r="K49" s="7"/>
      <c r="L49" s="307">
        <f t="shared" si="1"/>
        <v>0</v>
      </c>
    </row>
    <row r="50" spans="1:12" s="276" customFormat="1" x14ac:dyDescent="0.5">
      <c r="A50" s="305"/>
      <c r="B50" s="304"/>
      <c r="C50" s="306"/>
      <c r="D50" s="304"/>
      <c r="E50" s="289"/>
      <c r="F50" s="271"/>
      <c r="G50" s="271"/>
      <c r="H50" s="7"/>
      <c r="I50" s="7"/>
      <c r="J50" s="7"/>
      <c r="K50" s="7"/>
      <c r="L50" s="307">
        <f t="shared" si="1"/>
        <v>0</v>
      </c>
    </row>
    <row r="51" spans="1:12" s="276" customFormat="1" x14ac:dyDescent="0.5">
      <c r="A51" s="305"/>
      <c r="B51" s="304"/>
      <c r="C51" s="306"/>
      <c r="D51" s="304"/>
      <c r="E51" s="289"/>
      <c r="F51" s="271"/>
      <c r="G51" s="271"/>
      <c r="H51" s="7"/>
      <c r="I51" s="7"/>
      <c r="J51" s="7"/>
      <c r="K51" s="7"/>
      <c r="L51" s="307">
        <f t="shared" si="1"/>
        <v>0</v>
      </c>
    </row>
    <row r="52" spans="1:12" s="276" customFormat="1" x14ac:dyDescent="0.5">
      <c r="A52" s="305"/>
      <c r="B52" s="304"/>
      <c r="C52" s="306"/>
      <c r="D52" s="304"/>
      <c r="E52" s="289"/>
      <c r="F52" s="271"/>
      <c r="G52" s="271"/>
      <c r="H52" s="7"/>
      <c r="I52" s="7"/>
      <c r="J52" s="7"/>
      <c r="K52" s="7"/>
      <c r="L52" s="307">
        <f t="shared" si="1"/>
        <v>0</v>
      </c>
    </row>
    <row r="53" spans="1:12" x14ac:dyDescent="0.5">
      <c r="A53" s="308"/>
      <c r="B53" s="309"/>
      <c r="C53" s="310"/>
      <c r="D53" s="311"/>
      <c r="E53" s="312"/>
      <c r="F53" s="313"/>
      <c r="G53" s="313"/>
      <c r="H53" s="314"/>
      <c r="I53" s="314"/>
      <c r="J53" s="314"/>
      <c r="K53" s="314"/>
      <c r="L53" s="307">
        <f t="shared" si="1"/>
        <v>0</v>
      </c>
    </row>
    <row r="54" spans="1:12" x14ac:dyDescent="0.5">
      <c r="A54" s="305"/>
      <c r="B54" s="311"/>
      <c r="C54" s="315"/>
      <c r="D54" s="311"/>
      <c r="E54" s="316"/>
      <c r="F54" s="317"/>
      <c r="G54" s="317"/>
      <c r="H54" s="1"/>
      <c r="I54" s="1"/>
      <c r="J54" s="1"/>
      <c r="K54" s="1"/>
      <c r="L54" s="307">
        <f t="shared" si="1"/>
        <v>0</v>
      </c>
    </row>
    <row r="55" spans="1:12" x14ac:dyDescent="0.5">
      <c r="A55" s="305"/>
      <c r="B55" s="311"/>
      <c r="C55" s="315"/>
      <c r="D55" s="311"/>
      <c r="E55" s="316"/>
      <c r="F55" s="317"/>
      <c r="G55" s="317"/>
      <c r="H55" s="1"/>
      <c r="I55" s="1"/>
      <c r="J55" s="1"/>
      <c r="K55" s="1"/>
      <c r="L55" s="7"/>
    </row>
    <row r="56" spans="1:12" x14ac:dyDescent="0.5">
      <c r="A56" s="305"/>
      <c r="B56" s="311"/>
      <c r="C56" s="315"/>
      <c r="D56" s="311"/>
      <c r="E56" s="316"/>
      <c r="F56" s="317"/>
      <c r="G56" s="317"/>
      <c r="H56" s="1"/>
      <c r="I56" s="1"/>
      <c r="J56" s="1"/>
      <c r="K56" s="1"/>
      <c r="L56" s="7"/>
    </row>
    <row r="57" spans="1:12" x14ac:dyDescent="0.5">
      <c r="A57" s="305"/>
      <c r="B57" s="311"/>
      <c r="C57" s="315"/>
      <c r="D57" s="311"/>
      <c r="E57" s="316"/>
      <c r="F57" s="317"/>
      <c r="G57" s="317"/>
      <c r="H57" s="1"/>
      <c r="I57" s="1"/>
      <c r="J57" s="1"/>
      <c r="K57" s="1"/>
      <c r="L57" s="7"/>
    </row>
    <row r="58" spans="1:12" x14ac:dyDescent="0.5">
      <c r="A58" s="305"/>
      <c r="B58" s="311"/>
      <c r="C58" s="315"/>
      <c r="D58" s="311"/>
      <c r="E58" s="316"/>
      <c r="F58" s="317"/>
      <c r="G58" s="317"/>
      <c r="H58" s="1"/>
      <c r="I58" s="1"/>
      <c r="J58" s="1"/>
      <c r="K58" s="1"/>
      <c r="L58" s="7"/>
    </row>
    <row r="59" spans="1:12" x14ac:dyDescent="0.5">
      <c r="A59" s="305"/>
      <c r="B59" s="311"/>
      <c r="C59" s="315"/>
      <c r="D59" s="311"/>
      <c r="E59" s="316"/>
      <c r="F59" s="317"/>
      <c r="G59" s="317"/>
      <c r="H59" s="1"/>
      <c r="I59" s="1"/>
      <c r="J59" s="1"/>
      <c r="K59" s="1"/>
      <c r="L59" s="7"/>
    </row>
    <row r="60" spans="1:12" x14ac:dyDescent="0.5">
      <c r="A60" s="305"/>
      <c r="B60" s="311"/>
      <c r="C60" s="315"/>
      <c r="D60" s="311"/>
      <c r="E60" s="316"/>
      <c r="F60" s="317"/>
      <c r="G60" s="317"/>
      <c r="H60" s="1"/>
      <c r="I60" s="1"/>
      <c r="J60" s="1"/>
      <c r="K60" s="1"/>
      <c r="L60" s="7"/>
    </row>
    <row r="61" spans="1:12" x14ac:dyDescent="0.5">
      <c r="A61" s="305"/>
      <c r="B61" s="311"/>
      <c r="C61" s="315"/>
      <c r="D61" s="311"/>
      <c r="E61" s="316"/>
      <c r="F61" s="317"/>
      <c r="G61" s="317"/>
      <c r="H61" s="1"/>
      <c r="I61" s="1"/>
      <c r="J61" s="1"/>
      <c r="K61" s="1"/>
      <c r="L61" s="7"/>
    </row>
    <row r="62" spans="1:12" x14ac:dyDescent="0.5">
      <c r="A62" s="305"/>
      <c r="B62" s="311"/>
      <c r="C62" s="315"/>
      <c r="D62" s="311"/>
      <c r="E62" s="316"/>
      <c r="F62" s="317"/>
      <c r="G62" s="317"/>
      <c r="H62" s="1"/>
      <c r="I62" s="1"/>
      <c r="J62" s="1"/>
      <c r="K62" s="1"/>
      <c r="L62" s="7"/>
    </row>
    <row r="63" spans="1:12" x14ac:dyDescent="0.5">
      <c r="A63" s="305"/>
      <c r="B63" s="311"/>
      <c r="C63" s="315"/>
      <c r="D63" s="311"/>
      <c r="E63" s="316"/>
      <c r="F63" s="317"/>
      <c r="G63" s="317"/>
      <c r="H63" s="1"/>
      <c r="I63" s="1"/>
      <c r="J63" s="1"/>
      <c r="K63" s="1"/>
      <c r="L63" s="7"/>
    </row>
    <row r="64" spans="1:12" x14ac:dyDescent="0.5">
      <c r="A64" s="305"/>
      <c r="B64" s="311"/>
      <c r="C64" s="315"/>
      <c r="D64" s="311"/>
      <c r="E64" s="316"/>
      <c r="F64" s="317"/>
      <c r="G64" s="317"/>
      <c r="H64" s="1"/>
      <c r="I64" s="1"/>
      <c r="J64" s="1"/>
      <c r="K64" s="1"/>
      <c r="L64" s="7"/>
    </row>
    <row r="65" spans="1:12" x14ac:dyDescent="0.5">
      <c r="A65" s="305"/>
      <c r="B65" s="311"/>
      <c r="C65" s="315"/>
      <c r="D65" s="311"/>
      <c r="E65" s="316"/>
      <c r="F65" s="317"/>
      <c r="G65" s="317"/>
      <c r="H65" s="1"/>
      <c r="I65" s="1"/>
      <c r="J65" s="1"/>
      <c r="K65" s="1"/>
      <c r="L65" s="7"/>
    </row>
    <row r="66" spans="1:12" x14ac:dyDescent="0.5">
      <c r="A66" s="305"/>
      <c r="B66" s="311"/>
      <c r="C66" s="315"/>
      <c r="D66" s="311"/>
      <c r="E66" s="316"/>
      <c r="F66" s="317"/>
      <c r="G66" s="317"/>
      <c r="H66" s="1"/>
      <c r="I66" s="1"/>
      <c r="J66" s="1"/>
      <c r="K66" s="1"/>
      <c r="L66" s="7"/>
    </row>
    <row r="67" spans="1:12" x14ac:dyDescent="0.5">
      <c r="A67" s="305"/>
      <c r="B67" s="311"/>
      <c r="C67" s="315"/>
      <c r="D67" s="311"/>
      <c r="E67" s="316"/>
      <c r="F67" s="317"/>
      <c r="G67" s="317"/>
      <c r="H67" s="1"/>
      <c r="I67" s="1"/>
      <c r="J67" s="1"/>
      <c r="K67" s="1"/>
      <c r="L67" s="7"/>
    </row>
    <row r="68" spans="1:12" x14ac:dyDescent="0.5">
      <c r="A68" s="305"/>
      <c r="B68" s="311"/>
      <c r="C68" s="315"/>
      <c r="D68" s="311"/>
      <c r="E68" s="316"/>
      <c r="F68" s="317"/>
      <c r="G68" s="317"/>
      <c r="H68" s="1"/>
      <c r="I68" s="1"/>
      <c r="J68" s="1"/>
      <c r="K68" s="1"/>
      <c r="L68" s="7"/>
    </row>
    <row r="69" spans="1:12" x14ac:dyDescent="0.5">
      <c r="A69" s="305"/>
      <c r="B69" s="311"/>
      <c r="C69" s="315"/>
      <c r="D69" s="311"/>
      <c r="E69" s="316"/>
      <c r="F69" s="317"/>
      <c r="G69" s="317"/>
      <c r="H69" s="1"/>
      <c r="I69" s="1"/>
      <c r="J69" s="1"/>
      <c r="K69" s="1"/>
      <c r="L69" s="7"/>
    </row>
    <row r="70" spans="1:12" x14ac:dyDescent="0.5">
      <c r="A70" s="305"/>
      <c r="B70" s="311"/>
      <c r="C70" s="315"/>
      <c r="D70" s="311"/>
      <c r="E70" s="316"/>
      <c r="F70" s="317"/>
      <c r="G70" s="317"/>
      <c r="H70" s="1"/>
      <c r="I70" s="1"/>
      <c r="J70" s="1"/>
      <c r="K70" s="1"/>
      <c r="L70" s="7"/>
    </row>
    <row r="71" spans="1:12" x14ac:dyDescent="0.5">
      <c r="A71" s="305"/>
      <c r="B71" s="311"/>
      <c r="C71" s="315"/>
      <c r="D71" s="311"/>
      <c r="E71" s="316"/>
      <c r="F71" s="317"/>
      <c r="G71" s="317"/>
      <c r="H71" s="1"/>
      <c r="I71" s="1"/>
      <c r="J71" s="1"/>
      <c r="K71" s="1"/>
      <c r="L71" s="7"/>
    </row>
    <row r="72" spans="1:12" x14ac:dyDescent="0.5">
      <c r="A72" s="305"/>
      <c r="B72" s="311"/>
      <c r="C72" s="315"/>
      <c r="D72" s="311"/>
      <c r="E72" s="316"/>
      <c r="F72" s="317"/>
      <c r="G72" s="317"/>
      <c r="H72" s="1"/>
      <c r="I72" s="1"/>
      <c r="J72" s="1"/>
      <c r="K72" s="1"/>
      <c r="L72" s="7"/>
    </row>
    <row r="73" spans="1:12" x14ac:dyDescent="0.5">
      <c r="A73" s="305"/>
      <c r="B73" s="311"/>
      <c r="C73" s="315"/>
      <c r="D73" s="311"/>
      <c r="E73" s="316"/>
      <c r="F73" s="317"/>
      <c r="G73" s="317"/>
      <c r="H73" s="1"/>
      <c r="I73" s="1"/>
      <c r="J73" s="1"/>
      <c r="K73" s="1"/>
      <c r="L73" s="7"/>
    </row>
    <row r="74" spans="1:12" x14ac:dyDescent="0.5">
      <c r="A74" s="305"/>
      <c r="B74" s="311"/>
      <c r="C74" s="315"/>
      <c r="D74" s="311"/>
      <c r="E74" s="316"/>
      <c r="F74" s="317"/>
      <c r="G74" s="317"/>
      <c r="H74" s="1"/>
      <c r="I74" s="1"/>
      <c r="J74" s="1"/>
      <c r="K74" s="1"/>
      <c r="L74" s="7"/>
    </row>
    <row r="75" spans="1:12" x14ac:dyDescent="0.5">
      <c r="A75" s="305"/>
      <c r="B75" s="311"/>
      <c r="C75" s="315"/>
      <c r="D75" s="311"/>
      <c r="E75" s="316"/>
      <c r="F75" s="317"/>
      <c r="G75" s="317"/>
      <c r="H75" s="1"/>
      <c r="I75" s="1"/>
      <c r="J75" s="1"/>
      <c r="K75" s="1"/>
      <c r="L75" s="7"/>
    </row>
    <row r="76" spans="1:12" x14ac:dyDescent="0.5">
      <c r="A76" s="305"/>
      <c r="B76" s="311"/>
      <c r="C76" s="315"/>
      <c r="D76" s="311"/>
      <c r="E76" s="316"/>
      <c r="F76" s="317"/>
      <c r="G76" s="317"/>
      <c r="H76" s="1"/>
      <c r="I76" s="1"/>
      <c r="J76" s="1"/>
      <c r="K76" s="1"/>
      <c r="L76" s="7"/>
    </row>
    <row r="77" spans="1:12" x14ac:dyDescent="0.5">
      <c r="A77" s="305"/>
      <c r="B77" s="311"/>
      <c r="C77" s="315"/>
      <c r="D77" s="311"/>
      <c r="E77" s="316"/>
      <c r="F77" s="317"/>
      <c r="G77" s="317"/>
      <c r="H77" s="1"/>
      <c r="I77" s="1"/>
      <c r="J77" s="1"/>
      <c r="K77" s="1"/>
      <c r="L77" s="7"/>
    </row>
  </sheetData>
  <autoFilter ref="A3:L4" xr:uid="{00000000-0009-0000-0000-000002000000}"/>
  <mergeCells count="22">
    <mergeCell ref="G23:G25"/>
    <mergeCell ref="F23:F25"/>
    <mergeCell ref="H23:H25"/>
    <mergeCell ref="J10:J15"/>
    <mergeCell ref="A1:L1"/>
    <mergeCell ref="G2:K2"/>
    <mergeCell ref="G5:G6"/>
    <mergeCell ref="F5:F6"/>
    <mergeCell ref="H5:H6"/>
    <mergeCell ref="E5:E6"/>
    <mergeCell ref="G8:G9"/>
    <mergeCell ref="F8:F9"/>
    <mergeCell ref="H8:H9"/>
    <mergeCell ref="G11:G12"/>
    <mergeCell ref="F11:F12"/>
    <mergeCell ref="H11:H12"/>
    <mergeCell ref="G19:G20"/>
    <mergeCell ref="F19:F20"/>
    <mergeCell ref="H19:H20"/>
    <mergeCell ref="G13:G15"/>
    <mergeCell ref="F13:F15"/>
    <mergeCell ref="H13:H15"/>
  </mergeCells>
  <dataValidations count="1">
    <dataValidation type="whole" allowBlank="1" showInputMessage="1" showErrorMessage="1" sqref="F32:F66 F26:F28 D32:D66 F17:F18 F23 F21 E7:E66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3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6"/>
  <sheetViews>
    <sheetView zoomScale="89" zoomScaleNormal="89" workbookViewId="0">
      <selection activeCell="I13" sqref="I13"/>
    </sheetView>
  </sheetViews>
  <sheetFormatPr defaultRowHeight="14.5" x14ac:dyDescent="0.35"/>
  <cols>
    <col min="2" max="2" width="15.7265625" style="142" customWidth="1"/>
    <col min="3" max="3" width="21.26953125" customWidth="1"/>
    <col min="4" max="4" width="35.1796875" customWidth="1"/>
    <col min="5" max="5" width="19.453125" customWidth="1"/>
    <col min="6" max="6" width="15.7265625" customWidth="1"/>
    <col min="7" max="7" width="23.453125" bestFit="1" customWidth="1"/>
    <col min="10" max="10" width="9.7265625" style="142" bestFit="1" customWidth="1"/>
    <col min="11" max="11" width="20.26953125" customWidth="1"/>
    <col min="12" max="12" width="27.26953125" bestFit="1" customWidth="1"/>
    <col min="13" max="13" width="16.7265625" customWidth="1"/>
    <col min="14" max="14" width="14.81640625" customWidth="1"/>
    <col min="15" max="15" width="23.453125" bestFit="1" customWidth="1"/>
  </cols>
  <sheetData>
    <row r="1" spans="1:15" ht="21" x14ac:dyDescent="0.35">
      <c r="A1" s="350" t="s">
        <v>0</v>
      </c>
      <c r="B1" s="350"/>
      <c r="C1" s="350"/>
      <c r="D1" s="350"/>
      <c r="E1" s="350"/>
      <c r="F1" s="350"/>
      <c r="G1" s="350"/>
      <c r="I1" s="350" t="s">
        <v>0</v>
      </c>
      <c r="J1" s="350"/>
      <c r="K1" s="350"/>
      <c r="L1" s="350"/>
      <c r="M1" s="350"/>
      <c r="N1" s="350"/>
      <c r="O1" s="350"/>
    </row>
    <row r="2" spans="1:15" x14ac:dyDescent="0.35">
      <c r="A2" s="351"/>
      <c r="B2" s="351"/>
      <c r="C2" s="351"/>
      <c r="D2" s="351"/>
      <c r="E2" s="351"/>
      <c r="F2" s="351"/>
      <c r="G2" s="351"/>
      <c r="I2" s="351"/>
      <c r="J2" s="351"/>
      <c r="K2" s="351"/>
      <c r="L2" s="351"/>
      <c r="M2" s="351"/>
      <c r="N2" s="351"/>
      <c r="O2" s="351"/>
    </row>
    <row r="3" spans="1:15" ht="18.5" x14ac:dyDescent="0.45">
      <c r="A3" s="352" t="s">
        <v>83</v>
      </c>
      <c r="B3" s="352"/>
      <c r="C3" s="131" t="s">
        <v>168</v>
      </c>
      <c r="D3" s="131"/>
      <c r="E3" s="132"/>
      <c r="F3" s="133" t="s">
        <v>84</v>
      </c>
      <c r="G3" s="132" t="s">
        <v>121</v>
      </c>
      <c r="I3" s="352" t="s">
        <v>83</v>
      </c>
      <c r="J3" s="352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35">
      <c r="A5" s="108" t="s">
        <v>77</v>
      </c>
      <c r="B5" s="176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6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43.5" x14ac:dyDescent="0.35">
      <c r="A6" s="135">
        <v>1</v>
      </c>
      <c r="B6" s="223">
        <v>46023</v>
      </c>
      <c r="C6" s="108" t="s">
        <v>135</v>
      </c>
      <c r="D6" s="144" t="s">
        <v>187</v>
      </c>
      <c r="E6" s="108" t="s">
        <v>136</v>
      </c>
      <c r="F6" s="108" t="s">
        <v>211</v>
      </c>
      <c r="G6" s="108">
        <v>3800</v>
      </c>
      <c r="I6" s="135"/>
      <c r="J6" s="176"/>
      <c r="K6" s="108"/>
      <c r="L6" s="144"/>
      <c r="M6" s="108"/>
      <c r="N6" s="108"/>
      <c r="O6" s="108"/>
    </row>
    <row r="7" spans="1:15" ht="29" x14ac:dyDescent="0.35">
      <c r="A7" s="135">
        <f>SUM(A6+1)</f>
        <v>2</v>
      </c>
      <c r="B7" s="223">
        <v>46025</v>
      </c>
      <c r="C7" s="108" t="s">
        <v>135</v>
      </c>
      <c r="D7" s="144" t="s">
        <v>210</v>
      </c>
      <c r="E7" s="108" t="s">
        <v>136</v>
      </c>
      <c r="F7" s="108" t="s">
        <v>211</v>
      </c>
      <c r="G7" s="108">
        <v>1800</v>
      </c>
      <c r="I7" s="135"/>
      <c r="J7" s="176"/>
      <c r="K7" s="108"/>
      <c r="L7" s="108"/>
      <c r="M7" s="108"/>
      <c r="N7" s="108"/>
      <c r="O7" s="108"/>
    </row>
    <row r="8" spans="1:15" ht="43.5" x14ac:dyDescent="0.35">
      <c r="A8" s="135">
        <f t="shared" ref="A8:A15" si="0">SUM(A7+1)</f>
        <v>3</v>
      </c>
      <c r="B8" s="223">
        <v>46026</v>
      </c>
      <c r="C8" s="108" t="s">
        <v>135</v>
      </c>
      <c r="D8" s="144" t="s">
        <v>212</v>
      </c>
      <c r="E8" s="108" t="s">
        <v>136</v>
      </c>
      <c r="F8" s="108" t="s">
        <v>213</v>
      </c>
      <c r="G8" s="108">
        <v>1450</v>
      </c>
      <c r="I8" s="135"/>
      <c r="J8" s="176"/>
      <c r="K8" s="108"/>
      <c r="L8" s="144"/>
      <c r="M8" s="108"/>
      <c r="N8" s="108"/>
      <c r="O8" s="108"/>
    </row>
    <row r="9" spans="1:15" ht="29" x14ac:dyDescent="0.35">
      <c r="A9" s="135">
        <f t="shared" si="0"/>
        <v>4</v>
      </c>
      <c r="B9" s="223">
        <v>46027</v>
      </c>
      <c r="C9" s="108" t="s">
        <v>135</v>
      </c>
      <c r="D9" s="144" t="s">
        <v>214</v>
      </c>
      <c r="E9" s="108" t="s">
        <v>136</v>
      </c>
      <c r="F9" s="108" t="s">
        <v>211</v>
      </c>
      <c r="G9" s="108">
        <v>3800</v>
      </c>
      <c r="I9" s="135"/>
      <c r="J9" s="176"/>
      <c r="K9" s="108"/>
      <c r="L9" s="108"/>
      <c r="M9" s="108"/>
      <c r="N9" s="108"/>
      <c r="O9" s="108"/>
    </row>
    <row r="10" spans="1:15" ht="33" customHeight="1" x14ac:dyDescent="0.35">
      <c r="A10" s="135">
        <f t="shared" si="0"/>
        <v>5</v>
      </c>
      <c r="B10" s="223">
        <v>46027</v>
      </c>
      <c r="C10" s="108" t="s">
        <v>135</v>
      </c>
      <c r="D10" s="144" t="s">
        <v>216</v>
      </c>
      <c r="E10" s="108" t="s">
        <v>136</v>
      </c>
      <c r="F10" s="108" t="s">
        <v>213</v>
      </c>
      <c r="G10" s="108">
        <v>100</v>
      </c>
      <c r="I10" s="135"/>
      <c r="J10" s="176"/>
      <c r="K10" s="108"/>
      <c r="L10" s="108"/>
      <c r="M10" s="108"/>
      <c r="N10" s="108"/>
      <c r="O10" s="108"/>
    </row>
    <row r="11" spans="1:15" ht="36.75" customHeight="1" x14ac:dyDescent="0.35">
      <c r="A11" s="135">
        <f t="shared" si="0"/>
        <v>6</v>
      </c>
      <c r="B11" s="223">
        <v>46027</v>
      </c>
      <c r="C11" s="108" t="s">
        <v>135</v>
      </c>
      <c r="D11" s="144" t="s">
        <v>210</v>
      </c>
      <c r="E11" s="108" t="s">
        <v>136</v>
      </c>
      <c r="F11" s="108" t="s">
        <v>211</v>
      </c>
      <c r="G11" s="108">
        <v>1700</v>
      </c>
      <c r="I11" s="135"/>
      <c r="J11" s="176"/>
      <c r="K11" s="108"/>
      <c r="L11" s="108"/>
      <c r="M11" s="108"/>
      <c r="N11" s="108"/>
      <c r="O11" s="108"/>
    </row>
    <row r="12" spans="1:15" ht="42" customHeight="1" x14ac:dyDescent="0.35">
      <c r="A12" s="135">
        <f t="shared" si="0"/>
        <v>7</v>
      </c>
      <c r="B12" s="223">
        <v>46028</v>
      </c>
      <c r="C12" s="108" t="s">
        <v>135</v>
      </c>
      <c r="D12" s="144" t="s">
        <v>217</v>
      </c>
      <c r="E12" s="108" t="s">
        <v>136</v>
      </c>
      <c r="F12" s="108" t="s">
        <v>213</v>
      </c>
      <c r="G12" s="108">
        <v>200</v>
      </c>
      <c r="I12" s="135"/>
      <c r="J12" s="176"/>
      <c r="K12" s="108"/>
      <c r="L12" s="108"/>
      <c r="M12" s="108"/>
      <c r="N12" s="108"/>
      <c r="O12" s="108"/>
    </row>
    <row r="13" spans="1:15" ht="32.15" customHeight="1" x14ac:dyDescent="0.35">
      <c r="A13" s="135">
        <f t="shared" si="0"/>
        <v>8</v>
      </c>
      <c r="B13" s="223">
        <v>46028</v>
      </c>
      <c r="C13" s="108" t="s">
        <v>135</v>
      </c>
      <c r="D13" s="144" t="s">
        <v>218</v>
      </c>
      <c r="E13" s="108" t="s">
        <v>136</v>
      </c>
      <c r="F13" s="108" t="s">
        <v>213</v>
      </c>
      <c r="G13" s="108">
        <v>250</v>
      </c>
      <c r="I13" s="135"/>
      <c r="J13" s="176"/>
      <c r="K13" s="108"/>
      <c r="L13" s="108"/>
      <c r="M13" s="108"/>
      <c r="N13" s="108"/>
      <c r="O13" s="108"/>
    </row>
    <row r="14" spans="1:15" ht="18.5" x14ac:dyDescent="0.35">
      <c r="A14" s="135">
        <f t="shared" si="0"/>
        <v>9</v>
      </c>
      <c r="B14" s="223">
        <v>46028</v>
      </c>
      <c r="C14" s="108" t="s">
        <v>135</v>
      </c>
      <c r="D14" s="144" t="s">
        <v>220</v>
      </c>
      <c r="E14" s="108" t="s">
        <v>136</v>
      </c>
      <c r="F14" s="108" t="s">
        <v>221</v>
      </c>
      <c r="G14" s="108">
        <v>350</v>
      </c>
      <c r="I14" s="135"/>
      <c r="J14" s="176"/>
      <c r="K14" s="108"/>
      <c r="L14" s="108"/>
      <c r="M14" s="108"/>
      <c r="N14" s="108"/>
      <c r="O14" s="108"/>
    </row>
    <row r="15" spans="1:15" ht="28.5" customHeight="1" x14ac:dyDescent="0.35">
      <c r="A15" s="135">
        <f t="shared" si="0"/>
        <v>10</v>
      </c>
      <c r="B15" s="223">
        <v>46029</v>
      </c>
      <c r="C15" s="108" t="s">
        <v>135</v>
      </c>
      <c r="D15" s="144" t="s">
        <v>224</v>
      </c>
      <c r="E15" s="108" t="s">
        <v>136</v>
      </c>
      <c r="F15" s="108" t="s">
        <v>213</v>
      </c>
      <c r="G15" s="108">
        <v>970</v>
      </c>
      <c r="I15" s="244"/>
      <c r="J15" s="176"/>
      <c r="K15" s="108"/>
      <c r="L15" s="108"/>
      <c r="M15" s="108"/>
      <c r="N15" s="108"/>
      <c r="O15" s="108"/>
    </row>
    <row r="16" spans="1:15" ht="30.75" customHeight="1" x14ac:dyDescent="0.35">
      <c r="A16" s="135">
        <v>11</v>
      </c>
      <c r="B16" s="223">
        <v>46030</v>
      </c>
      <c r="C16" s="108" t="s">
        <v>135</v>
      </c>
      <c r="D16" s="144" t="s">
        <v>226</v>
      </c>
      <c r="E16" s="108" t="s">
        <v>136</v>
      </c>
      <c r="F16" s="108" t="s">
        <v>213</v>
      </c>
      <c r="G16" s="108">
        <v>140</v>
      </c>
      <c r="I16" s="244"/>
      <c r="J16" s="176"/>
      <c r="K16" s="108"/>
      <c r="L16" s="108"/>
      <c r="M16" s="108"/>
      <c r="N16" s="108"/>
      <c r="O16" s="108"/>
    </row>
    <row r="17" spans="1:15" ht="29.25" customHeight="1" x14ac:dyDescent="0.35">
      <c r="A17" s="135">
        <f>SUM(A15+1)</f>
        <v>11</v>
      </c>
      <c r="B17" s="223">
        <v>46030</v>
      </c>
      <c r="C17" s="108" t="s">
        <v>135</v>
      </c>
      <c r="D17" s="144" t="s">
        <v>228</v>
      </c>
      <c r="E17" s="108" t="s">
        <v>136</v>
      </c>
      <c r="F17" s="108" t="s">
        <v>213</v>
      </c>
      <c r="G17" s="108">
        <v>250</v>
      </c>
      <c r="I17" s="135"/>
      <c r="J17" s="176"/>
      <c r="K17" s="108"/>
      <c r="L17" s="108"/>
      <c r="M17" s="108"/>
      <c r="N17" s="108"/>
      <c r="O17" s="108"/>
    </row>
    <row r="18" spans="1:15" ht="29" x14ac:dyDescent="0.35">
      <c r="A18" s="135">
        <v>12</v>
      </c>
      <c r="B18" s="223">
        <v>46032</v>
      </c>
      <c r="C18" s="108" t="s">
        <v>135</v>
      </c>
      <c r="D18" s="144" t="s">
        <v>232</v>
      </c>
      <c r="E18" s="108" t="s">
        <v>136</v>
      </c>
      <c r="F18" s="108" t="s">
        <v>213</v>
      </c>
      <c r="G18" s="108">
        <v>960</v>
      </c>
      <c r="I18" s="135"/>
      <c r="J18" s="176"/>
      <c r="K18" s="108"/>
      <c r="L18" s="108"/>
      <c r="M18" s="108"/>
      <c r="N18" s="108"/>
      <c r="O18" s="108"/>
    </row>
    <row r="19" spans="1:15" x14ac:dyDescent="0.35">
      <c r="C19" s="353"/>
      <c r="D19" s="353"/>
      <c r="E19" s="353"/>
      <c r="G19" s="224"/>
      <c r="I19" s="124"/>
      <c r="J19" s="184"/>
      <c r="K19" s="124"/>
      <c r="L19" s="124"/>
      <c r="M19" s="124"/>
      <c r="N19" s="108"/>
      <c r="O19" s="134"/>
    </row>
    <row r="20" spans="1:15" x14ac:dyDescent="0.35">
      <c r="C20" s="353"/>
      <c r="D20" s="353"/>
      <c r="E20" s="353"/>
      <c r="F20" s="108" t="s">
        <v>23</v>
      </c>
      <c r="G20" s="108">
        <f>SUM(G6:G18)</f>
        <v>15770</v>
      </c>
    </row>
    <row r="21" spans="1:15" x14ac:dyDescent="0.35">
      <c r="B21" s="184"/>
      <c r="C21" s="353"/>
      <c r="D21" s="353"/>
      <c r="E21" s="353"/>
      <c r="F21" s="354"/>
      <c r="G21" s="354"/>
      <c r="I21" s="114"/>
      <c r="J21" s="177"/>
      <c r="K21" s="114"/>
      <c r="L21" s="114"/>
      <c r="M21" s="114"/>
      <c r="N21" s="114"/>
      <c r="O21" s="114"/>
    </row>
    <row r="22" spans="1:15" x14ac:dyDescent="0.35">
      <c r="F22" s="351"/>
      <c r="G22" s="351"/>
      <c r="I22" s="137" t="s">
        <v>78</v>
      </c>
      <c r="J22" s="178"/>
      <c r="K22" s="47"/>
      <c r="L22" s="47" t="s">
        <v>79</v>
      </c>
      <c r="M22" s="47"/>
      <c r="N22" s="47" t="s">
        <v>80</v>
      </c>
      <c r="O22" s="47"/>
    </row>
    <row r="23" spans="1:15" x14ac:dyDescent="0.35">
      <c r="A23" s="137"/>
      <c r="B23" s="177"/>
      <c r="C23" s="114"/>
      <c r="D23" s="114"/>
      <c r="E23" s="114"/>
      <c r="F23" s="351"/>
      <c r="G23" s="351"/>
      <c r="I23" s="138" t="s">
        <v>30</v>
      </c>
      <c r="J23" s="177"/>
      <c r="K23" s="114"/>
      <c r="L23" s="114" t="s">
        <v>81</v>
      </c>
      <c r="N23" s="114" t="s">
        <v>82</v>
      </c>
    </row>
    <row r="24" spans="1:15" x14ac:dyDescent="0.35">
      <c r="A24" s="137" t="s">
        <v>78</v>
      </c>
      <c r="B24" s="177"/>
      <c r="C24" s="47"/>
      <c r="D24" s="47" t="s">
        <v>79</v>
      </c>
      <c r="E24" s="47"/>
      <c r="F24" s="47" t="s">
        <v>80</v>
      </c>
      <c r="G24" s="47"/>
    </row>
    <row r="25" spans="1:15" x14ac:dyDescent="0.35">
      <c r="A25" s="138" t="s">
        <v>30</v>
      </c>
      <c r="C25" s="219"/>
      <c r="D25" s="114" t="s">
        <v>81</v>
      </c>
      <c r="F25" s="114" t="s">
        <v>82</v>
      </c>
    </row>
    <row r="26" spans="1:15" x14ac:dyDescent="0.35">
      <c r="B26" s="219"/>
      <c r="C26" s="219"/>
    </row>
  </sheetData>
  <mergeCells count="8">
    <mergeCell ref="I1:O1"/>
    <mergeCell ref="I2:O2"/>
    <mergeCell ref="I3:J3"/>
    <mergeCell ref="C19:E21"/>
    <mergeCell ref="F21:G23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4"/>
  <sheetViews>
    <sheetView topLeftCell="A73" workbookViewId="0">
      <selection activeCell="C78" sqref="C78"/>
    </sheetView>
  </sheetViews>
  <sheetFormatPr defaultRowHeight="14.5" x14ac:dyDescent="0.35"/>
  <cols>
    <col min="2" max="2" width="11.26953125" style="142" customWidth="1"/>
    <col min="3" max="3" width="29.453125" customWidth="1"/>
    <col min="4" max="4" width="18.453125" customWidth="1"/>
    <col min="5" max="5" width="15.26953125" bestFit="1" customWidth="1"/>
    <col min="6" max="6" width="13.7265625" customWidth="1"/>
    <col min="7" max="7" width="15.453125" customWidth="1"/>
    <col min="9" max="9" width="8.26953125" customWidth="1"/>
    <col min="10" max="10" width="11.26953125" style="142" customWidth="1"/>
    <col min="11" max="11" width="25.81640625" customWidth="1"/>
    <col min="12" max="12" width="19.1796875" customWidth="1"/>
    <col min="13" max="13" width="13.81640625" customWidth="1"/>
    <col min="14" max="14" width="15" customWidth="1"/>
  </cols>
  <sheetData>
    <row r="1" spans="1:15" x14ac:dyDescent="0.35">
      <c r="A1" s="358" t="s">
        <v>0</v>
      </c>
      <c r="B1" s="359"/>
      <c r="C1" s="359"/>
      <c r="D1" s="359"/>
      <c r="E1" s="359"/>
      <c r="F1" s="359"/>
      <c r="G1" s="360"/>
      <c r="I1" s="358" t="s">
        <v>0</v>
      </c>
      <c r="J1" s="359"/>
      <c r="K1" s="359"/>
      <c r="L1" s="359"/>
      <c r="M1" s="359"/>
      <c r="N1" s="359"/>
      <c r="O1" s="360"/>
    </row>
    <row r="2" spans="1:15" x14ac:dyDescent="0.35">
      <c r="A2" s="361"/>
      <c r="B2" s="351"/>
      <c r="C2" s="351"/>
      <c r="D2" s="351"/>
      <c r="E2" s="351"/>
      <c r="F2" s="351"/>
      <c r="G2" s="362"/>
      <c r="I2" s="361"/>
      <c r="J2" s="351"/>
      <c r="K2" s="351"/>
      <c r="L2" s="351"/>
      <c r="M2" s="351"/>
      <c r="N2" s="351"/>
      <c r="O2" s="362"/>
    </row>
    <row r="3" spans="1:15" x14ac:dyDescent="0.35">
      <c r="A3" s="363" t="s">
        <v>83</v>
      </c>
      <c r="B3" s="364"/>
      <c r="C3" s="123" t="s">
        <v>169</v>
      </c>
      <c r="D3" s="123"/>
      <c r="E3" s="124"/>
      <c r="F3" s="125" t="s">
        <v>84</v>
      </c>
      <c r="G3" s="126" t="s">
        <v>118</v>
      </c>
      <c r="I3" s="363" t="s">
        <v>83</v>
      </c>
      <c r="J3" s="364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35">
      <c r="A4" s="105"/>
      <c r="G4" s="106"/>
      <c r="I4" s="105"/>
      <c r="O4" s="106"/>
    </row>
    <row r="5" spans="1:15" x14ac:dyDescent="0.35">
      <c r="A5" s="107" t="s">
        <v>77</v>
      </c>
      <c r="B5" s="176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6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x14ac:dyDescent="0.35">
      <c r="A6" s="110">
        <v>1</v>
      </c>
      <c r="B6" s="176">
        <v>46028</v>
      </c>
      <c r="C6" s="144" t="s">
        <v>220</v>
      </c>
      <c r="D6" s="111" t="s">
        <v>135</v>
      </c>
      <c r="E6" s="166" t="s">
        <v>136</v>
      </c>
      <c r="F6" s="108" t="s">
        <v>137</v>
      </c>
      <c r="G6" s="112">
        <v>60</v>
      </c>
      <c r="I6" s="107">
        <v>1</v>
      </c>
      <c r="J6" s="223">
        <v>44964</v>
      </c>
      <c r="K6" s="144" t="s">
        <v>163</v>
      </c>
      <c r="L6" s="111" t="s">
        <v>135</v>
      </c>
      <c r="M6" s="194" t="s">
        <v>136</v>
      </c>
      <c r="N6" s="108" t="s">
        <v>146</v>
      </c>
      <c r="O6" s="112">
        <v>60</v>
      </c>
    </row>
    <row r="7" spans="1:15" x14ac:dyDescent="0.35">
      <c r="A7" s="110"/>
      <c r="F7" s="111"/>
      <c r="G7" s="112"/>
      <c r="I7" s="116" t="s">
        <v>78</v>
      </c>
      <c r="J7" s="178"/>
      <c r="K7" s="47"/>
      <c r="L7" s="47" t="s">
        <v>79</v>
      </c>
      <c r="M7" s="47"/>
      <c r="N7" s="47" t="s">
        <v>80</v>
      </c>
      <c r="O7" s="117"/>
    </row>
    <row r="8" spans="1:15" ht="15" thickBot="1" x14ac:dyDescent="0.4">
      <c r="A8" s="105"/>
      <c r="F8" s="111" t="s">
        <v>23</v>
      </c>
      <c r="G8" s="112">
        <f>SUM(G6:G6)</f>
        <v>60</v>
      </c>
      <c r="I8" s="127" t="s">
        <v>30</v>
      </c>
      <c r="J8" s="189"/>
      <c r="K8" s="128"/>
      <c r="L8" s="128" t="s">
        <v>81</v>
      </c>
      <c r="M8" s="129"/>
      <c r="N8" s="128" t="s">
        <v>82</v>
      </c>
      <c r="O8" s="130"/>
    </row>
    <row r="9" spans="1:15" ht="15" thickBot="1" x14ac:dyDescent="0.4">
      <c r="A9" s="113"/>
      <c r="B9" s="177"/>
      <c r="C9" s="114"/>
      <c r="D9" s="114"/>
      <c r="E9" s="114"/>
      <c r="F9" s="114"/>
      <c r="G9" s="115"/>
    </row>
    <row r="10" spans="1:15" x14ac:dyDescent="0.35">
      <c r="A10" s="116" t="s">
        <v>78</v>
      </c>
      <c r="B10" s="178"/>
      <c r="C10" s="47"/>
      <c r="D10" s="47" t="s">
        <v>79</v>
      </c>
      <c r="E10" s="47"/>
      <c r="F10" s="47" t="s">
        <v>80</v>
      </c>
      <c r="G10" s="117"/>
      <c r="I10" s="358" t="s">
        <v>0</v>
      </c>
      <c r="J10" s="359"/>
      <c r="K10" s="359"/>
      <c r="L10" s="359"/>
      <c r="M10" s="359"/>
      <c r="N10" s="359"/>
      <c r="O10" s="360"/>
    </row>
    <row r="11" spans="1:15" ht="15" thickBot="1" x14ac:dyDescent="0.4">
      <c r="A11" s="127" t="s">
        <v>30</v>
      </c>
      <c r="B11" s="189"/>
      <c r="C11" s="128"/>
      <c r="D11" s="128" t="s">
        <v>81</v>
      </c>
      <c r="E11" s="129"/>
      <c r="F11" s="128" t="s">
        <v>82</v>
      </c>
      <c r="G11" s="130"/>
      <c r="I11" s="361"/>
      <c r="J11" s="351"/>
      <c r="K11" s="351"/>
      <c r="L11" s="351"/>
      <c r="M11" s="351"/>
      <c r="N11" s="351"/>
      <c r="O11" s="362"/>
    </row>
    <row r="12" spans="1:15" ht="15" thickBot="1" x14ac:dyDescent="0.4">
      <c r="I12" s="363" t="s">
        <v>83</v>
      </c>
      <c r="J12" s="364"/>
      <c r="K12" s="123" t="s">
        <v>126</v>
      </c>
      <c r="L12" s="123"/>
      <c r="M12" s="124"/>
      <c r="N12" s="125" t="s">
        <v>84</v>
      </c>
      <c r="O12" s="126" t="s">
        <v>118</v>
      </c>
    </row>
    <row r="13" spans="1:15" x14ac:dyDescent="0.35">
      <c r="A13" s="358" t="s">
        <v>0</v>
      </c>
      <c r="B13" s="359"/>
      <c r="C13" s="359"/>
      <c r="D13" s="359"/>
      <c r="E13" s="359"/>
      <c r="F13" s="359"/>
      <c r="G13" s="360"/>
      <c r="I13" s="105"/>
      <c r="O13" s="106"/>
    </row>
    <row r="14" spans="1:15" x14ac:dyDescent="0.35">
      <c r="A14" s="361"/>
      <c r="B14" s="351"/>
      <c r="C14" s="351"/>
      <c r="D14" s="351"/>
      <c r="E14" s="351"/>
      <c r="F14" s="351"/>
      <c r="G14" s="362"/>
      <c r="I14" s="107" t="s">
        <v>77</v>
      </c>
      <c r="J14" s="176" t="s">
        <v>36</v>
      </c>
      <c r="K14" s="108" t="s">
        <v>85</v>
      </c>
      <c r="L14" s="108" t="s">
        <v>86</v>
      </c>
      <c r="M14" s="108" t="s">
        <v>5</v>
      </c>
      <c r="N14" s="108" t="s">
        <v>87</v>
      </c>
      <c r="O14" s="109" t="s">
        <v>56</v>
      </c>
    </row>
    <row r="15" spans="1:15" x14ac:dyDescent="0.35">
      <c r="A15" s="363" t="s">
        <v>83</v>
      </c>
      <c r="B15" s="364"/>
      <c r="C15" s="123" t="s">
        <v>166</v>
      </c>
      <c r="D15" s="123"/>
      <c r="E15" s="124"/>
      <c r="F15" s="125" t="s">
        <v>84</v>
      </c>
      <c r="G15" s="126" t="s">
        <v>145</v>
      </c>
      <c r="I15" s="110">
        <v>1</v>
      </c>
      <c r="J15" s="223">
        <v>45202</v>
      </c>
      <c r="K15" s="144" t="s">
        <v>141</v>
      </c>
      <c r="L15" s="111" t="s">
        <v>135</v>
      </c>
      <c r="M15" s="166" t="s">
        <v>136</v>
      </c>
      <c r="N15" s="108" t="s">
        <v>137</v>
      </c>
      <c r="O15" s="112"/>
    </row>
    <row r="16" spans="1:15" x14ac:dyDescent="0.35">
      <c r="A16" s="105"/>
      <c r="G16" s="106"/>
      <c r="I16" s="110">
        <v>2</v>
      </c>
      <c r="J16" s="223">
        <v>45203</v>
      </c>
      <c r="K16" s="108" t="s">
        <v>140</v>
      </c>
      <c r="L16" s="111" t="s">
        <v>135</v>
      </c>
      <c r="M16" s="166" t="s">
        <v>136</v>
      </c>
      <c r="N16" s="108" t="s">
        <v>138</v>
      </c>
      <c r="O16" s="112"/>
    </row>
    <row r="17" spans="1:15" x14ac:dyDescent="0.35">
      <c r="A17" s="107" t="s">
        <v>77</v>
      </c>
      <c r="B17" s="176" t="s">
        <v>36</v>
      </c>
      <c r="C17" s="108" t="s">
        <v>85</v>
      </c>
      <c r="D17" s="108" t="s">
        <v>86</v>
      </c>
      <c r="E17" s="108" t="s">
        <v>5</v>
      </c>
      <c r="F17" s="108" t="s">
        <v>87</v>
      </c>
      <c r="G17" s="109" t="s">
        <v>56</v>
      </c>
      <c r="I17" s="111"/>
      <c r="J17" s="213"/>
      <c r="K17" s="102"/>
      <c r="L17" s="102"/>
      <c r="M17" s="102"/>
      <c r="N17" s="102"/>
      <c r="O17" s="102"/>
    </row>
    <row r="18" spans="1:15" x14ac:dyDescent="0.35">
      <c r="A18" s="107"/>
      <c r="B18" s="223"/>
      <c r="C18" s="144"/>
      <c r="D18" s="111" t="s">
        <v>135</v>
      </c>
      <c r="E18" s="217" t="s">
        <v>136</v>
      </c>
      <c r="F18" s="108" t="s">
        <v>146</v>
      </c>
      <c r="G18" s="109"/>
      <c r="I18" s="355"/>
      <c r="J18" s="356"/>
      <c r="K18" s="356"/>
      <c r="L18" s="356"/>
      <c r="M18" s="357"/>
      <c r="N18" s="211" t="s">
        <v>23</v>
      </c>
      <c r="O18" s="212"/>
    </row>
    <row r="19" spans="1:15" x14ac:dyDescent="0.35">
      <c r="A19" s="107"/>
      <c r="B19" s="223"/>
      <c r="C19" s="144"/>
      <c r="D19" s="108" t="s">
        <v>135</v>
      </c>
      <c r="E19" s="215" t="s">
        <v>136</v>
      </c>
      <c r="F19" s="108" t="s">
        <v>146</v>
      </c>
      <c r="G19" s="109"/>
      <c r="I19" s="105"/>
      <c r="O19" s="106"/>
    </row>
    <row r="20" spans="1:15" x14ac:dyDescent="0.35">
      <c r="A20" s="107"/>
      <c r="B20" s="223"/>
      <c r="C20" s="144"/>
      <c r="D20" s="108"/>
      <c r="E20" s="215"/>
      <c r="F20" s="108"/>
      <c r="G20" s="109"/>
      <c r="I20" s="113"/>
      <c r="J20" s="177"/>
      <c r="K20" s="114"/>
      <c r="L20" s="114"/>
      <c r="M20" s="114"/>
      <c r="N20" s="114"/>
      <c r="O20" s="115"/>
    </row>
    <row r="21" spans="1:15" x14ac:dyDescent="0.35">
      <c r="A21" s="257"/>
      <c r="B21" s="258"/>
      <c r="C21" s="259"/>
      <c r="D21" s="215"/>
      <c r="E21" s="215"/>
      <c r="F21" s="215"/>
      <c r="G21" s="260"/>
      <c r="I21" s="116" t="s">
        <v>78</v>
      </c>
      <c r="J21" s="178"/>
      <c r="K21" s="47"/>
      <c r="L21" s="47" t="s">
        <v>79</v>
      </c>
      <c r="M21" s="47"/>
      <c r="N21" s="47" t="s">
        <v>80</v>
      </c>
      <c r="O21" s="117"/>
    </row>
    <row r="22" spans="1:15" ht="15" thickBot="1" x14ac:dyDescent="0.4">
      <c r="A22" s="261"/>
      <c r="G22" s="212"/>
      <c r="I22" s="127" t="s">
        <v>30</v>
      </c>
      <c r="J22" s="189"/>
      <c r="K22" s="128"/>
      <c r="L22" s="128" t="s">
        <v>81</v>
      </c>
      <c r="M22" s="129"/>
      <c r="N22" s="128" t="s">
        <v>82</v>
      </c>
      <c r="O22" s="130"/>
    </row>
    <row r="23" spans="1:15" x14ac:dyDescent="0.35">
      <c r="A23" s="365"/>
      <c r="B23" s="366"/>
      <c r="C23" s="366"/>
      <c r="D23" s="366"/>
      <c r="E23" s="366"/>
      <c r="F23" s="111" t="s">
        <v>23</v>
      </c>
      <c r="G23" s="112">
        <f>SUM(G18:G21)</f>
        <v>0</v>
      </c>
    </row>
    <row r="24" spans="1:15" ht="15" thickBot="1" x14ac:dyDescent="0.4">
      <c r="A24" s="355"/>
      <c r="B24" s="356"/>
      <c r="C24" s="356"/>
      <c r="D24" s="356"/>
      <c r="E24" s="356"/>
      <c r="G24" s="106"/>
    </row>
    <row r="25" spans="1:15" x14ac:dyDescent="0.35">
      <c r="A25" s="113"/>
      <c r="B25" s="177"/>
      <c r="C25" s="114"/>
      <c r="D25" s="114"/>
      <c r="E25" s="114"/>
      <c r="F25" s="114"/>
      <c r="G25" s="115"/>
      <c r="I25" s="358" t="s">
        <v>0</v>
      </c>
      <c r="J25" s="359"/>
      <c r="K25" s="359"/>
      <c r="L25" s="359"/>
      <c r="M25" s="359"/>
      <c r="N25" s="359"/>
      <c r="O25" s="360"/>
    </row>
    <row r="26" spans="1:15" x14ac:dyDescent="0.35">
      <c r="A26" s="116" t="s">
        <v>78</v>
      </c>
      <c r="B26" s="178"/>
      <c r="C26" s="47"/>
      <c r="D26" s="47" t="s">
        <v>79</v>
      </c>
      <c r="E26" s="47"/>
      <c r="F26" s="47" t="s">
        <v>80</v>
      </c>
      <c r="G26" s="117"/>
      <c r="I26" s="361" t="s">
        <v>129</v>
      </c>
      <c r="J26" s="351"/>
      <c r="K26" s="351"/>
      <c r="L26" s="351"/>
      <c r="M26" s="351"/>
      <c r="N26" s="351"/>
      <c r="O26" s="362"/>
    </row>
    <row r="27" spans="1:15" ht="15" thickBot="1" x14ac:dyDescent="0.4">
      <c r="A27" s="127" t="s">
        <v>30</v>
      </c>
      <c r="B27" s="189"/>
      <c r="C27" s="128"/>
      <c r="D27" s="128" t="s">
        <v>81</v>
      </c>
      <c r="E27" s="129"/>
      <c r="F27" s="128" t="s">
        <v>82</v>
      </c>
      <c r="G27" s="130"/>
      <c r="I27" s="363" t="s">
        <v>83</v>
      </c>
      <c r="J27" s="364"/>
      <c r="K27" s="123" t="s">
        <v>125</v>
      </c>
      <c r="L27" s="123"/>
      <c r="M27" s="124"/>
      <c r="N27" s="125" t="s">
        <v>84</v>
      </c>
      <c r="O27" s="126" t="s">
        <v>122</v>
      </c>
    </row>
    <row r="28" spans="1:15" ht="15" thickBot="1" x14ac:dyDescent="0.4">
      <c r="I28" s="105"/>
      <c r="O28" s="106"/>
    </row>
    <row r="29" spans="1:15" x14ac:dyDescent="0.35">
      <c r="A29" s="358" t="s">
        <v>0</v>
      </c>
      <c r="B29" s="359"/>
      <c r="C29" s="359"/>
      <c r="D29" s="359"/>
      <c r="E29" s="359"/>
      <c r="F29" s="359"/>
      <c r="G29" s="360"/>
      <c r="H29" s="195" t="s">
        <v>128</v>
      </c>
      <c r="I29" s="107" t="s">
        <v>77</v>
      </c>
      <c r="J29" s="176" t="s">
        <v>36</v>
      </c>
      <c r="K29" s="108" t="s">
        <v>85</v>
      </c>
      <c r="L29" s="108" t="s">
        <v>86</v>
      </c>
      <c r="M29" s="108" t="s">
        <v>5</v>
      </c>
      <c r="N29" s="108" t="s">
        <v>87</v>
      </c>
      <c r="O29" s="109" t="s">
        <v>56</v>
      </c>
    </row>
    <row r="30" spans="1:15" x14ac:dyDescent="0.35">
      <c r="A30" s="361"/>
      <c r="B30" s="351"/>
      <c r="C30" s="351"/>
      <c r="D30" s="351"/>
      <c r="E30" s="351"/>
      <c r="F30" s="351"/>
      <c r="G30" s="362"/>
      <c r="I30" s="110">
        <v>1</v>
      </c>
      <c r="J30" s="146"/>
      <c r="K30" s="144"/>
      <c r="L30" s="111"/>
      <c r="M30" s="194"/>
      <c r="N30" s="108"/>
      <c r="O30" s="112"/>
    </row>
    <row r="31" spans="1:15" x14ac:dyDescent="0.35">
      <c r="A31" s="363" t="s">
        <v>83</v>
      </c>
      <c r="B31" s="364"/>
      <c r="C31" s="123" t="s">
        <v>127</v>
      </c>
      <c r="D31" s="123"/>
      <c r="E31" s="124"/>
      <c r="F31" s="125" t="s">
        <v>84</v>
      </c>
      <c r="G31" s="126" t="s">
        <v>118</v>
      </c>
      <c r="I31" s="110">
        <v>2</v>
      </c>
      <c r="J31" s="146"/>
      <c r="K31" s="108"/>
      <c r="L31" s="111"/>
      <c r="M31" s="194"/>
      <c r="N31" s="108"/>
      <c r="O31" s="112"/>
    </row>
    <row r="32" spans="1:15" x14ac:dyDescent="0.35">
      <c r="A32" s="105"/>
      <c r="G32" s="106"/>
      <c r="I32" s="110"/>
      <c r="J32" s="146"/>
      <c r="K32" s="144"/>
      <c r="L32" s="111"/>
      <c r="M32" s="194"/>
      <c r="N32" s="108"/>
      <c r="O32" s="112"/>
    </row>
    <row r="33" spans="1:15" x14ac:dyDescent="0.35">
      <c r="A33" s="107" t="s">
        <v>77</v>
      </c>
      <c r="B33" s="176" t="s">
        <v>36</v>
      </c>
      <c r="C33" s="108" t="s">
        <v>85</v>
      </c>
      <c r="D33" s="108" t="s">
        <v>86</v>
      </c>
      <c r="E33" s="108" t="s">
        <v>5</v>
      </c>
      <c r="F33" s="108" t="s">
        <v>87</v>
      </c>
      <c r="G33" s="109" t="s">
        <v>56</v>
      </c>
      <c r="I33" s="110"/>
      <c r="J33" s="216"/>
      <c r="K33" s="217"/>
      <c r="L33" s="217"/>
      <c r="M33" s="194"/>
      <c r="N33" s="215"/>
      <c r="O33" s="218"/>
    </row>
    <row r="34" spans="1:15" x14ac:dyDescent="0.35">
      <c r="A34" s="107">
        <v>1</v>
      </c>
      <c r="B34" s="223">
        <v>46026</v>
      </c>
      <c r="C34" s="144" t="s">
        <v>233</v>
      </c>
      <c r="D34" s="108" t="s">
        <v>135</v>
      </c>
      <c r="E34" s="108" t="s">
        <v>136</v>
      </c>
      <c r="F34" s="108" t="s">
        <v>137</v>
      </c>
      <c r="G34" s="109">
        <v>300</v>
      </c>
      <c r="I34" s="110"/>
      <c r="J34" s="213"/>
      <c r="K34" s="102"/>
      <c r="L34" s="102"/>
      <c r="M34" s="102"/>
      <c r="N34" s="102"/>
      <c r="O34" s="102"/>
    </row>
    <row r="35" spans="1:15" x14ac:dyDescent="0.35">
      <c r="A35" s="110">
        <v>2</v>
      </c>
      <c r="B35" s="223">
        <v>46027</v>
      </c>
      <c r="C35" s="144" t="s">
        <v>234</v>
      </c>
      <c r="D35" s="111" t="s">
        <v>135</v>
      </c>
      <c r="E35" s="166" t="s">
        <v>136</v>
      </c>
      <c r="F35" s="108" t="s">
        <v>139</v>
      </c>
      <c r="G35" s="112">
        <v>200</v>
      </c>
      <c r="I35" s="110"/>
      <c r="J35" s="146"/>
      <c r="K35" s="111"/>
      <c r="L35" s="111"/>
      <c r="M35" s="111"/>
      <c r="N35" s="111" t="s">
        <v>23</v>
      </c>
      <c r="O35" s="112">
        <f>SUM(O30:O33)</f>
        <v>0</v>
      </c>
    </row>
    <row r="36" spans="1:15" x14ac:dyDescent="0.35">
      <c r="A36" s="110">
        <v>3</v>
      </c>
      <c r="B36" s="223">
        <v>46028</v>
      </c>
      <c r="C36" s="144" t="s">
        <v>217</v>
      </c>
      <c r="D36" s="111" t="s">
        <v>135</v>
      </c>
      <c r="E36" s="166" t="s">
        <v>136</v>
      </c>
      <c r="F36" s="108" t="s">
        <v>137</v>
      </c>
      <c r="G36" s="112">
        <v>180</v>
      </c>
      <c r="I36" s="105"/>
      <c r="O36" s="106"/>
    </row>
    <row r="37" spans="1:15" ht="29" x14ac:dyDescent="0.35">
      <c r="A37" s="110">
        <v>4</v>
      </c>
      <c r="B37" s="223">
        <v>46029</v>
      </c>
      <c r="C37" s="144" t="s">
        <v>235</v>
      </c>
      <c r="D37" s="111" t="s">
        <v>135</v>
      </c>
      <c r="E37" s="166" t="s">
        <v>136</v>
      </c>
      <c r="F37" s="108" t="s">
        <v>137</v>
      </c>
      <c r="G37" s="112">
        <v>240</v>
      </c>
      <c r="I37" s="105"/>
      <c r="O37" s="106"/>
    </row>
    <row r="38" spans="1:15" ht="29" x14ac:dyDescent="0.35">
      <c r="A38" s="110">
        <v>5</v>
      </c>
      <c r="B38" s="223">
        <v>46030</v>
      </c>
      <c r="C38" s="144" t="s">
        <v>226</v>
      </c>
      <c r="D38" s="111" t="s">
        <v>135</v>
      </c>
      <c r="E38" s="166" t="s">
        <v>136</v>
      </c>
      <c r="F38" s="108" t="s">
        <v>137</v>
      </c>
      <c r="G38" s="111">
        <v>60</v>
      </c>
      <c r="I38" s="105"/>
      <c r="O38" s="106"/>
    </row>
    <row r="39" spans="1:15" ht="29" x14ac:dyDescent="0.35">
      <c r="A39" s="110">
        <v>6</v>
      </c>
      <c r="B39" s="223">
        <v>46030</v>
      </c>
      <c r="C39" s="144" t="s">
        <v>228</v>
      </c>
      <c r="D39" s="111" t="s">
        <v>135</v>
      </c>
      <c r="E39" s="166" t="s">
        <v>136</v>
      </c>
      <c r="F39" s="108" t="s">
        <v>137</v>
      </c>
      <c r="G39" s="111">
        <v>100</v>
      </c>
      <c r="I39" s="105"/>
      <c r="O39" s="106"/>
    </row>
    <row r="40" spans="1:15" ht="29" x14ac:dyDescent="0.35">
      <c r="A40" s="110">
        <v>7</v>
      </c>
      <c r="B40" s="223">
        <v>46032</v>
      </c>
      <c r="C40" s="144" t="s">
        <v>236</v>
      </c>
      <c r="D40" s="111" t="s">
        <v>135</v>
      </c>
      <c r="E40" s="166" t="s">
        <v>136</v>
      </c>
      <c r="F40" s="108" t="s">
        <v>137</v>
      </c>
      <c r="G40" s="111">
        <v>200</v>
      </c>
      <c r="I40" s="105"/>
      <c r="O40" s="106"/>
    </row>
    <row r="41" spans="1:15" x14ac:dyDescent="0.35">
      <c r="A41" s="292"/>
      <c r="B41" s="321"/>
      <c r="C41" s="322"/>
      <c r="D41" s="293"/>
      <c r="E41" s="323"/>
      <c r="F41" s="108"/>
      <c r="G41" s="136"/>
      <c r="I41" s="105"/>
      <c r="O41" s="106"/>
    </row>
    <row r="42" spans="1:15" x14ac:dyDescent="0.35">
      <c r="A42" s="367"/>
      <c r="B42" s="368"/>
      <c r="C42" s="368"/>
      <c r="D42" s="368"/>
      <c r="E42" s="369"/>
      <c r="F42" s="111" t="s">
        <v>23</v>
      </c>
      <c r="G42" s="112">
        <f>SUM(G34:G40)</f>
        <v>1280</v>
      </c>
      <c r="I42" s="116" t="s">
        <v>78</v>
      </c>
      <c r="J42" s="178"/>
      <c r="K42" s="47"/>
      <c r="L42" s="47" t="s">
        <v>79</v>
      </c>
      <c r="M42" s="47"/>
      <c r="N42" s="47" t="s">
        <v>80</v>
      </c>
      <c r="O42" s="117"/>
    </row>
    <row r="43" spans="1:15" ht="15" thickBot="1" x14ac:dyDescent="0.4">
      <c r="A43" s="105"/>
      <c r="G43" s="106"/>
      <c r="I43" s="127" t="s">
        <v>30</v>
      </c>
      <c r="J43" s="189"/>
      <c r="K43" s="128"/>
      <c r="L43" s="128" t="s">
        <v>81</v>
      </c>
      <c r="M43" s="129"/>
      <c r="N43" s="128" t="s">
        <v>82</v>
      </c>
      <c r="O43" s="130"/>
    </row>
    <row r="44" spans="1:15" x14ac:dyDescent="0.35">
      <c r="A44" s="113"/>
      <c r="B44" s="177"/>
      <c r="D44" s="114"/>
      <c r="E44" s="114"/>
      <c r="F44" s="114"/>
      <c r="G44" s="115"/>
    </row>
    <row r="45" spans="1:15" x14ac:dyDescent="0.35">
      <c r="A45" s="116" t="s">
        <v>78</v>
      </c>
      <c r="B45" s="178"/>
      <c r="C45" s="47"/>
      <c r="D45" s="47" t="s">
        <v>79</v>
      </c>
      <c r="E45" s="47"/>
      <c r="F45" s="47" t="s">
        <v>80</v>
      </c>
      <c r="G45" s="117"/>
    </row>
    <row r="46" spans="1:15" ht="15" thickBot="1" x14ac:dyDescent="0.4">
      <c r="A46" s="127" t="s">
        <v>30</v>
      </c>
      <c r="B46" s="189"/>
      <c r="C46" s="128"/>
      <c r="D46" s="128" t="s">
        <v>81</v>
      </c>
      <c r="E46" s="129"/>
      <c r="F46" s="128" t="s">
        <v>82</v>
      </c>
      <c r="G46" s="130"/>
    </row>
    <row r="47" spans="1:15" ht="15" thickBot="1" x14ac:dyDescent="0.4"/>
    <row r="48" spans="1:15" x14ac:dyDescent="0.35">
      <c r="A48" s="358" t="s">
        <v>0</v>
      </c>
      <c r="B48" s="359"/>
      <c r="C48" s="359"/>
      <c r="D48" s="359"/>
      <c r="E48" s="359"/>
      <c r="F48" s="359"/>
      <c r="G48" s="360"/>
    </row>
    <row r="49" spans="1:7" x14ac:dyDescent="0.35">
      <c r="A49" s="361"/>
      <c r="B49" s="351"/>
      <c r="C49" s="351"/>
      <c r="D49" s="351"/>
      <c r="E49" s="351"/>
      <c r="F49" s="351"/>
      <c r="G49" s="362"/>
    </row>
    <row r="50" spans="1:7" x14ac:dyDescent="0.35">
      <c r="A50" s="363" t="s">
        <v>83</v>
      </c>
      <c r="B50" s="364"/>
      <c r="C50" s="123" t="s">
        <v>125</v>
      </c>
      <c r="D50" s="123"/>
      <c r="E50" s="124"/>
      <c r="F50" s="125" t="s">
        <v>84</v>
      </c>
      <c r="G50" s="126" t="s">
        <v>122</v>
      </c>
    </row>
    <row r="51" spans="1:7" x14ac:dyDescent="0.35">
      <c r="A51" s="105"/>
      <c r="G51" s="106"/>
    </row>
    <row r="52" spans="1:7" x14ac:dyDescent="0.35">
      <c r="A52" s="107" t="s">
        <v>77</v>
      </c>
      <c r="B52" s="176" t="s">
        <v>36</v>
      </c>
      <c r="C52" s="108" t="s">
        <v>85</v>
      </c>
      <c r="D52" s="108" t="s">
        <v>86</v>
      </c>
      <c r="E52" s="108" t="s">
        <v>5</v>
      </c>
      <c r="F52" s="108" t="s">
        <v>87</v>
      </c>
      <c r="G52" s="109" t="s">
        <v>56</v>
      </c>
    </row>
    <row r="53" spans="1:7" x14ac:dyDescent="0.35">
      <c r="A53" s="107">
        <v>1</v>
      </c>
      <c r="B53" s="223"/>
      <c r="C53" s="144"/>
      <c r="D53" s="111" t="s">
        <v>135</v>
      </c>
      <c r="E53" s="194" t="s">
        <v>136</v>
      </c>
      <c r="F53" s="108" t="s">
        <v>146</v>
      </c>
      <c r="G53" s="112"/>
    </row>
    <row r="54" spans="1:7" x14ac:dyDescent="0.35">
      <c r="A54" s="110"/>
      <c r="B54" s="223"/>
      <c r="C54" s="108"/>
      <c r="D54" s="111"/>
      <c r="E54" s="166"/>
      <c r="F54" s="108"/>
      <c r="G54" s="112"/>
    </row>
    <row r="55" spans="1:7" x14ac:dyDescent="0.35">
      <c r="A55" s="111"/>
      <c r="B55" s="213"/>
      <c r="C55" s="102"/>
      <c r="D55" s="102"/>
      <c r="E55" s="102"/>
      <c r="F55" s="102"/>
      <c r="G55" s="102"/>
    </row>
    <row r="56" spans="1:7" x14ac:dyDescent="0.35">
      <c r="A56" s="355"/>
      <c r="B56" s="356"/>
      <c r="C56" s="356"/>
      <c r="D56" s="356"/>
      <c r="E56" s="357"/>
      <c r="F56" s="211" t="s">
        <v>23</v>
      </c>
      <c r="G56" s="212">
        <f>SUM(G53:G54)</f>
        <v>0</v>
      </c>
    </row>
    <row r="57" spans="1:7" x14ac:dyDescent="0.35">
      <c r="A57" s="105"/>
      <c r="G57" s="106"/>
    </row>
    <row r="58" spans="1:7" x14ac:dyDescent="0.35">
      <c r="A58" s="113"/>
      <c r="B58" s="177"/>
      <c r="C58" s="114"/>
      <c r="D58" s="114"/>
      <c r="E58" s="114"/>
      <c r="F58" s="114"/>
      <c r="G58" s="115"/>
    </row>
    <row r="59" spans="1:7" x14ac:dyDescent="0.35">
      <c r="A59" s="116" t="s">
        <v>78</v>
      </c>
      <c r="B59" s="178"/>
      <c r="C59" s="47"/>
      <c r="D59" s="47" t="s">
        <v>79</v>
      </c>
      <c r="E59" s="47"/>
      <c r="F59" s="47" t="s">
        <v>80</v>
      </c>
      <c r="G59" s="117"/>
    </row>
    <row r="60" spans="1:7" ht="15" thickBot="1" x14ac:dyDescent="0.4">
      <c r="A60" s="127" t="s">
        <v>30</v>
      </c>
      <c r="B60" s="189"/>
      <c r="C60" s="128"/>
      <c r="D60" s="128" t="s">
        <v>81</v>
      </c>
      <c r="E60" s="129"/>
      <c r="F60" s="128" t="s">
        <v>82</v>
      </c>
      <c r="G60" s="130"/>
    </row>
    <row r="61" spans="1:7" ht="15" thickBot="1" x14ac:dyDescent="0.4"/>
    <row r="62" spans="1:7" x14ac:dyDescent="0.35">
      <c r="A62" s="358" t="s">
        <v>0</v>
      </c>
      <c r="B62" s="359"/>
      <c r="C62" s="359"/>
      <c r="D62" s="359"/>
      <c r="E62" s="359"/>
      <c r="F62" s="359"/>
      <c r="G62" s="360"/>
    </row>
    <row r="63" spans="1:7" x14ac:dyDescent="0.35">
      <c r="A63" s="361" t="s">
        <v>53</v>
      </c>
      <c r="B63" s="351"/>
      <c r="C63" s="351"/>
      <c r="D63" s="351"/>
      <c r="E63" s="351"/>
      <c r="F63" s="351"/>
      <c r="G63" s="362"/>
    </row>
    <row r="64" spans="1:7" x14ac:dyDescent="0.35">
      <c r="A64" s="363" t="s">
        <v>83</v>
      </c>
      <c r="B64" s="364"/>
      <c r="C64" s="123" t="s">
        <v>127</v>
      </c>
      <c r="D64" s="123"/>
      <c r="E64" s="124"/>
      <c r="F64" s="125" t="s">
        <v>84</v>
      </c>
      <c r="G64" s="126" t="s">
        <v>118</v>
      </c>
    </row>
    <row r="65" spans="1:7" x14ac:dyDescent="0.35">
      <c r="A65" s="105"/>
      <c r="G65" s="106"/>
    </row>
    <row r="66" spans="1:7" x14ac:dyDescent="0.35">
      <c r="A66" s="107" t="s">
        <v>77</v>
      </c>
      <c r="B66" s="176" t="s">
        <v>36</v>
      </c>
      <c r="C66" s="108" t="s">
        <v>85</v>
      </c>
      <c r="D66" s="108" t="s">
        <v>86</v>
      </c>
      <c r="E66" s="108" t="s">
        <v>5</v>
      </c>
      <c r="F66" s="108" t="s">
        <v>87</v>
      </c>
      <c r="G66" s="109" t="s">
        <v>56</v>
      </c>
    </row>
    <row r="67" spans="1:7" ht="15.5" x14ac:dyDescent="0.35">
      <c r="A67" s="107">
        <v>1</v>
      </c>
      <c r="B67" s="31"/>
      <c r="C67" s="144"/>
      <c r="D67" s="111" t="s">
        <v>142</v>
      </c>
      <c r="E67" s="166" t="s">
        <v>148</v>
      </c>
      <c r="F67" s="108" t="s">
        <v>138</v>
      </c>
      <c r="G67" s="112"/>
    </row>
    <row r="68" spans="1:7" ht="15.5" x14ac:dyDescent="0.35">
      <c r="A68" s="110">
        <v>2</v>
      </c>
      <c r="B68" s="31"/>
      <c r="C68" s="111"/>
      <c r="D68" s="210" t="s">
        <v>135</v>
      </c>
      <c r="E68" s="102" t="s">
        <v>148</v>
      </c>
      <c r="F68" s="210" t="s">
        <v>138</v>
      </c>
      <c r="G68" s="210"/>
    </row>
    <row r="69" spans="1:7" x14ac:dyDescent="0.35">
      <c r="A69" s="110"/>
      <c r="B69" s="146"/>
      <c r="C69" s="111"/>
      <c r="D69" s="111"/>
      <c r="E69" s="111"/>
      <c r="F69" s="111" t="s">
        <v>23</v>
      </c>
      <c r="G69" s="112">
        <f>SUM(G67:G68)</f>
        <v>0</v>
      </c>
    </row>
    <row r="70" spans="1:7" x14ac:dyDescent="0.35">
      <c r="A70" s="105"/>
      <c r="G70" s="106"/>
    </row>
    <row r="71" spans="1:7" x14ac:dyDescent="0.35">
      <c r="A71" s="113"/>
      <c r="B71" s="177"/>
      <c r="C71" s="114"/>
      <c r="D71" s="114"/>
      <c r="E71" s="114"/>
      <c r="F71" s="114"/>
      <c r="G71" s="115"/>
    </row>
    <row r="72" spans="1:7" x14ac:dyDescent="0.35">
      <c r="A72" s="116" t="s">
        <v>78</v>
      </c>
      <c r="B72" s="178"/>
      <c r="C72" s="47"/>
      <c r="D72" s="47" t="s">
        <v>79</v>
      </c>
      <c r="E72" s="47"/>
      <c r="F72" s="47" t="s">
        <v>80</v>
      </c>
      <c r="G72" s="117"/>
    </row>
    <row r="73" spans="1:7" ht="15" thickBot="1" x14ac:dyDescent="0.4">
      <c r="A73" s="127" t="s">
        <v>30</v>
      </c>
      <c r="B73" s="189"/>
      <c r="C73" s="128"/>
      <c r="D73" s="128" t="s">
        <v>81</v>
      </c>
      <c r="E73" s="129"/>
      <c r="F73" s="128" t="s">
        <v>82</v>
      </c>
      <c r="G73" s="130"/>
    </row>
    <row r="75" spans="1:7" x14ac:dyDescent="0.35">
      <c r="A75" s="372" t="s">
        <v>0</v>
      </c>
      <c r="B75" s="372"/>
      <c r="C75" s="372"/>
      <c r="D75" s="372"/>
      <c r="E75" s="372"/>
      <c r="F75" s="372"/>
      <c r="G75" s="372"/>
    </row>
    <row r="76" spans="1:7" x14ac:dyDescent="0.35">
      <c r="A76" s="372" t="s">
        <v>129</v>
      </c>
      <c r="B76" s="372"/>
      <c r="C76" s="372"/>
      <c r="D76" s="372"/>
      <c r="E76" s="372"/>
      <c r="F76" s="372"/>
      <c r="G76" s="372"/>
    </row>
    <row r="77" spans="1:7" x14ac:dyDescent="0.35">
      <c r="A77" s="371" t="s">
        <v>83</v>
      </c>
      <c r="B77" s="371"/>
      <c r="C77" s="325" t="s">
        <v>153</v>
      </c>
      <c r="D77" s="325"/>
      <c r="E77" s="326"/>
      <c r="F77" s="327" t="s">
        <v>84</v>
      </c>
      <c r="G77" s="326" t="s">
        <v>154</v>
      </c>
    </row>
    <row r="78" spans="1:7" x14ac:dyDescent="0.35">
      <c r="A78" s="102"/>
      <c r="B78" s="213"/>
      <c r="C78" s="102"/>
      <c r="D78" s="102"/>
      <c r="E78" s="102"/>
      <c r="F78" s="102"/>
      <c r="G78" s="102"/>
    </row>
    <row r="79" spans="1:7" x14ac:dyDescent="0.35">
      <c r="A79" s="108" t="s">
        <v>77</v>
      </c>
      <c r="B79" s="176" t="s">
        <v>36</v>
      </c>
      <c r="C79" s="108" t="s">
        <v>85</v>
      </c>
      <c r="D79" s="108" t="s">
        <v>86</v>
      </c>
      <c r="E79" s="108" t="s">
        <v>5</v>
      </c>
      <c r="F79" s="108" t="s">
        <v>87</v>
      </c>
      <c r="G79" s="108" t="s">
        <v>56</v>
      </c>
    </row>
    <row r="80" spans="1:7" x14ac:dyDescent="0.35">
      <c r="A80" s="111">
        <v>1</v>
      </c>
      <c r="B80" s="146">
        <v>46028</v>
      </c>
      <c r="C80" s="111" t="s">
        <v>135</v>
      </c>
      <c r="D80" s="111" t="s">
        <v>142</v>
      </c>
      <c r="E80" s="166" t="s">
        <v>135</v>
      </c>
      <c r="F80" s="108" t="s">
        <v>138</v>
      </c>
      <c r="G80" s="111">
        <v>50</v>
      </c>
    </row>
    <row r="81" spans="1:7" x14ac:dyDescent="0.35">
      <c r="A81" s="111">
        <v>2</v>
      </c>
      <c r="B81" s="146">
        <v>46029</v>
      </c>
      <c r="C81" s="111" t="s">
        <v>135</v>
      </c>
      <c r="D81" s="111" t="s">
        <v>135</v>
      </c>
      <c r="E81" s="166" t="s">
        <v>135</v>
      </c>
      <c r="F81" s="108" t="s">
        <v>138</v>
      </c>
      <c r="G81" s="111">
        <v>40</v>
      </c>
    </row>
    <row r="82" spans="1:7" x14ac:dyDescent="0.35">
      <c r="A82" s="111">
        <v>3</v>
      </c>
      <c r="B82" s="146">
        <v>46029</v>
      </c>
      <c r="C82" s="111" t="s">
        <v>142</v>
      </c>
      <c r="D82" s="111" t="s">
        <v>142</v>
      </c>
      <c r="E82" s="166" t="s">
        <v>135</v>
      </c>
      <c r="F82" s="108" t="s">
        <v>138</v>
      </c>
      <c r="G82" s="111">
        <v>60</v>
      </c>
    </row>
    <row r="83" spans="1:7" x14ac:dyDescent="0.35">
      <c r="A83" s="370"/>
      <c r="B83" s="370"/>
      <c r="C83" s="370"/>
      <c r="D83" s="370"/>
      <c r="E83" s="370"/>
      <c r="F83" s="370"/>
      <c r="G83" s="102"/>
    </row>
    <row r="84" spans="1:7" x14ac:dyDescent="0.35">
      <c r="A84" s="102"/>
      <c r="B84" s="213"/>
      <c r="C84" s="108"/>
      <c r="D84" s="111"/>
      <c r="E84" s="166"/>
      <c r="F84" s="108" t="s">
        <v>144</v>
      </c>
      <c r="G84" s="210">
        <f>SUM(G80:G82)</f>
        <v>150</v>
      </c>
    </row>
    <row r="85" spans="1:7" x14ac:dyDescent="0.35">
      <c r="A85" s="102"/>
      <c r="B85" s="213"/>
      <c r="C85" s="108"/>
      <c r="D85" s="111"/>
      <c r="E85" s="166"/>
      <c r="F85" s="102"/>
      <c r="G85" s="102"/>
    </row>
    <row r="86" spans="1:7" x14ac:dyDescent="0.35">
      <c r="A86" s="102"/>
      <c r="B86" s="213"/>
      <c r="C86" s="108"/>
      <c r="D86" s="111"/>
      <c r="E86" s="166"/>
      <c r="F86" s="102"/>
      <c r="G86" s="102"/>
    </row>
    <row r="87" spans="1:7" x14ac:dyDescent="0.35">
      <c r="A87" s="102"/>
      <c r="B87" s="213"/>
      <c r="C87" s="108"/>
      <c r="D87" s="111"/>
      <c r="E87" s="166"/>
      <c r="F87" s="102"/>
      <c r="G87" s="102"/>
    </row>
    <row r="88" spans="1:7" x14ac:dyDescent="0.35">
      <c r="A88" s="111"/>
      <c r="B88" s="146"/>
      <c r="C88" s="111"/>
      <c r="D88" s="111"/>
      <c r="E88" s="111"/>
      <c r="F88" s="111"/>
      <c r="G88" s="111"/>
    </row>
    <row r="89" spans="1:7" x14ac:dyDescent="0.35">
      <c r="A89" s="262" t="s">
        <v>78</v>
      </c>
      <c r="B89" s="328"/>
      <c r="C89" s="210"/>
      <c r="D89" s="210" t="s">
        <v>79</v>
      </c>
      <c r="E89" s="210"/>
      <c r="F89" s="210" t="s">
        <v>80</v>
      </c>
      <c r="G89" s="210"/>
    </row>
    <row r="90" spans="1:7" x14ac:dyDescent="0.35">
      <c r="A90" s="329" t="s">
        <v>30</v>
      </c>
      <c r="B90" s="146"/>
      <c r="C90" s="111"/>
      <c r="D90" s="111" t="s">
        <v>81</v>
      </c>
      <c r="E90" s="102"/>
      <c r="F90" s="111" t="s">
        <v>82</v>
      </c>
      <c r="G90" s="102"/>
    </row>
    <row r="92" spans="1:7" ht="15" thickBot="1" x14ac:dyDescent="0.4"/>
    <row r="93" spans="1:7" x14ac:dyDescent="0.35">
      <c r="A93" s="358" t="s">
        <v>0</v>
      </c>
      <c r="B93" s="359"/>
      <c r="C93" s="359"/>
      <c r="D93" s="359"/>
      <c r="E93" s="359"/>
      <c r="F93" s="359"/>
      <c r="G93" s="360"/>
    </row>
    <row r="94" spans="1:7" x14ac:dyDescent="0.35">
      <c r="A94" s="361" t="s">
        <v>165</v>
      </c>
      <c r="B94" s="351"/>
      <c r="C94" s="351"/>
      <c r="D94" s="351"/>
      <c r="E94" s="351"/>
      <c r="F94" s="351"/>
      <c r="G94" s="362"/>
    </row>
    <row r="95" spans="1:7" x14ac:dyDescent="0.35">
      <c r="A95" s="363" t="s">
        <v>83</v>
      </c>
      <c r="B95" s="364"/>
      <c r="C95" s="123" t="s">
        <v>194</v>
      </c>
      <c r="D95" s="123"/>
      <c r="E95" s="124"/>
      <c r="F95" s="125" t="s">
        <v>84</v>
      </c>
      <c r="G95" s="126" t="s">
        <v>118</v>
      </c>
    </row>
    <row r="96" spans="1:7" x14ac:dyDescent="0.35">
      <c r="A96" s="105"/>
      <c r="G96" s="106"/>
    </row>
    <row r="97" spans="1:7" x14ac:dyDescent="0.35">
      <c r="A97" s="107" t="s">
        <v>77</v>
      </c>
      <c r="B97" s="176" t="s">
        <v>36</v>
      </c>
      <c r="C97" s="108" t="s">
        <v>85</v>
      </c>
      <c r="D97" s="108" t="s">
        <v>86</v>
      </c>
      <c r="E97" s="108" t="s">
        <v>5</v>
      </c>
      <c r="F97" s="108" t="s">
        <v>87</v>
      </c>
      <c r="G97" s="109" t="s">
        <v>56</v>
      </c>
    </row>
    <row r="98" spans="1:7" ht="15.5" x14ac:dyDescent="0.35">
      <c r="A98" s="107">
        <v>1</v>
      </c>
      <c r="B98" s="31">
        <v>46028</v>
      </c>
      <c r="C98" s="144" t="s">
        <v>135</v>
      </c>
      <c r="D98" s="111" t="s">
        <v>142</v>
      </c>
      <c r="E98" s="166" t="s">
        <v>148</v>
      </c>
      <c r="F98" s="108" t="s">
        <v>138</v>
      </c>
      <c r="G98" s="112">
        <v>300</v>
      </c>
    </row>
    <row r="99" spans="1:7" ht="15.5" x14ac:dyDescent="0.35">
      <c r="A99" s="110">
        <v>2</v>
      </c>
      <c r="B99" s="31">
        <v>46028</v>
      </c>
      <c r="C99" s="111" t="s">
        <v>142</v>
      </c>
      <c r="D99" s="210" t="s">
        <v>135</v>
      </c>
      <c r="E99" s="102" t="s">
        <v>148</v>
      </c>
      <c r="F99" s="210" t="s">
        <v>138</v>
      </c>
      <c r="G99" s="210">
        <v>80</v>
      </c>
    </row>
    <row r="100" spans="1:7" x14ac:dyDescent="0.35">
      <c r="A100" s="110"/>
      <c r="B100" s="146"/>
      <c r="C100" s="111"/>
      <c r="D100" s="111"/>
      <c r="E100" s="111"/>
      <c r="F100" s="111" t="s">
        <v>23</v>
      </c>
      <c r="G100" s="112">
        <f>SUM(G98:G99)</f>
        <v>380</v>
      </c>
    </row>
    <row r="101" spans="1:7" x14ac:dyDescent="0.35">
      <c r="A101" s="105"/>
      <c r="G101" s="106"/>
    </row>
    <row r="102" spans="1:7" x14ac:dyDescent="0.35">
      <c r="A102" s="113"/>
      <c r="B102" s="177"/>
      <c r="C102" s="114"/>
      <c r="D102" s="114"/>
      <c r="E102" s="114"/>
      <c r="F102" s="114"/>
      <c r="G102" s="115"/>
    </row>
    <row r="103" spans="1:7" x14ac:dyDescent="0.35">
      <c r="A103" s="116" t="s">
        <v>78</v>
      </c>
      <c r="B103" s="178"/>
      <c r="C103" s="47"/>
      <c r="D103" s="47" t="s">
        <v>79</v>
      </c>
      <c r="E103" s="47"/>
      <c r="F103" s="47" t="s">
        <v>80</v>
      </c>
      <c r="G103" s="117"/>
    </row>
    <row r="104" spans="1:7" ht="15" thickBot="1" x14ac:dyDescent="0.4">
      <c r="A104" s="127" t="s">
        <v>30</v>
      </c>
      <c r="B104" s="189"/>
      <c r="C104" s="128"/>
      <c r="D104" s="128" t="s">
        <v>81</v>
      </c>
      <c r="E104" s="129"/>
      <c r="F104" s="128" t="s">
        <v>82</v>
      </c>
      <c r="G104" s="130"/>
    </row>
  </sheetData>
  <mergeCells count="35">
    <mergeCell ref="A93:G93"/>
    <mergeCell ref="A94:G94"/>
    <mergeCell ref="A95:B95"/>
    <mergeCell ref="A42:E42"/>
    <mergeCell ref="A83:F83"/>
    <mergeCell ref="A77:B77"/>
    <mergeCell ref="A76:G76"/>
    <mergeCell ref="A48:G48"/>
    <mergeCell ref="A49:G49"/>
    <mergeCell ref="A50:B50"/>
    <mergeCell ref="A56:E56"/>
    <mergeCell ref="A75:G75"/>
    <mergeCell ref="A64:B64"/>
    <mergeCell ref="A63:G63"/>
    <mergeCell ref="A62:G62"/>
    <mergeCell ref="I12:J12"/>
    <mergeCell ref="I1:O1"/>
    <mergeCell ref="I2:O2"/>
    <mergeCell ref="I3:J3"/>
    <mergeCell ref="A13:G13"/>
    <mergeCell ref="I10:O10"/>
    <mergeCell ref="I11:O11"/>
    <mergeCell ref="A31:B31"/>
    <mergeCell ref="A30:G30"/>
    <mergeCell ref="A29:G29"/>
    <mergeCell ref="A1:G1"/>
    <mergeCell ref="A2:G2"/>
    <mergeCell ref="A3:B3"/>
    <mergeCell ref="A15:B15"/>
    <mergeCell ref="A14:G14"/>
    <mergeCell ref="I18:M18"/>
    <mergeCell ref="I25:O25"/>
    <mergeCell ref="I26:O26"/>
    <mergeCell ref="I27:J27"/>
    <mergeCell ref="A23:E24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tabSelected="1"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O7" sqref="O7"/>
    </sheetView>
  </sheetViews>
  <sheetFormatPr defaultRowHeight="14.5" x14ac:dyDescent="0.35"/>
  <cols>
    <col min="1" max="1" width="8.90625" bestFit="1" customWidth="1"/>
    <col min="3" max="3" width="11.6328125" customWidth="1"/>
    <col min="7" max="7" width="12.6328125" customWidth="1"/>
    <col min="8" max="8" width="11.453125" customWidth="1"/>
  </cols>
  <sheetData>
    <row r="1" spans="1:12" x14ac:dyDescent="0.35">
      <c r="A1" s="373" t="s">
        <v>52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</row>
    <row r="2" spans="1:12" x14ac:dyDescent="0.35">
      <c r="A2" s="25"/>
      <c r="B2" s="26"/>
      <c r="C2" s="26"/>
      <c r="D2" s="26"/>
      <c r="E2" s="27"/>
      <c r="F2" s="27"/>
      <c r="G2" s="374" t="s">
        <v>35</v>
      </c>
      <c r="H2" s="375"/>
      <c r="I2" s="375"/>
      <c r="J2" s="375"/>
      <c r="K2" s="376"/>
      <c r="L2" s="24"/>
    </row>
    <row r="3" spans="1:12" ht="21" x14ac:dyDescent="0.35">
      <c r="A3" s="140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265</v>
      </c>
      <c r="E4" s="30">
        <f t="shared" ref="E4:F4" si="0">SUM(E5:E100)</f>
        <v>1930</v>
      </c>
      <c r="F4" s="30">
        <f t="shared" si="0"/>
        <v>300</v>
      </c>
      <c r="G4" s="30"/>
      <c r="H4" s="30">
        <f>SUM(H5:H100)</f>
        <v>80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2310</v>
      </c>
    </row>
    <row r="5" spans="1:12" ht="15.5" x14ac:dyDescent="0.35">
      <c r="A5" s="31">
        <v>46028</v>
      </c>
      <c r="B5" s="32">
        <v>10870</v>
      </c>
      <c r="C5" s="32" t="s">
        <v>192</v>
      </c>
      <c r="D5" s="33">
        <v>40</v>
      </c>
      <c r="E5" s="33">
        <v>480</v>
      </c>
      <c r="F5" s="377">
        <v>300</v>
      </c>
      <c r="G5" s="377" t="s">
        <v>194</v>
      </c>
      <c r="H5" s="379">
        <v>80</v>
      </c>
      <c r="I5" s="34"/>
      <c r="J5" s="34"/>
      <c r="K5" s="34"/>
      <c r="L5" s="35"/>
    </row>
    <row r="6" spans="1:12" ht="26" x14ac:dyDescent="0.35">
      <c r="A6" s="31">
        <v>46028</v>
      </c>
      <c r="B6" s="32">
        <v>10892</v>
      </c>
      <c r="C6" s="33" t="s">
        <v>193</v>
      </c>
      <c r="D6" s="33">
        <v>225</v>
      </c>
      <c r="E6" s="33">
        <v>1450</v>
      </c>
      <c r="F6" s="378"/>
      <c r="G6" s="378"/>
      <c r="H6" s="380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5">
    <mergeCell ref="A1:L1"/>
    <mergeCell ref="G2:K2"/>
    <mergeCell ref="G5:G6"/>
    <mergeCell ref="F5:F6"/>
    <mergeCell ref="H5:H6"/>
  </mergeCells>
  <pageMargins left="0.7" right="0.7" top="0.75" bottom="0.75" header="0.3" footer="0.3"/>
  <pageSetup scale="7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4.5" x14ac:dyDescent="0.35"/>
  <cols>
    <col min="1" max="1" width="10.54296875" bestFit="1" customWidth="1"/>
    <col min="3" max="3" width="19.7265625" customWidth="1"/>
  </cols>
  <sheetData>
    <row r="1" spans="1:12" x14ac:dyDescent="0.35">
      <c r="A1" s="373" t="s">
        <v>51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</row>
    <row r="2" spans="1:12" x14ac:dyDescent="0.35">
      <c r="A2" s="25"/>
      <c r="B2" s="26"/>
      <c r="C2" s="26"/>
      <c r="D2" s="26"/>
      <c r="E2" s="27"/>
      <c r="F2" s="27"/>
      <c r="G2" s="374" t="s">
        <v>35</v>
      </c>
      <c r="H2" s="375"/>
      <c r="I2" s="375"/>
      <c r="J2" s="375"/>
      <c r="K2" s="376"/>
      <c r="L2" s="24"/>
    </row>
    <row r="3" spans="1:12" ht="21" x14ac:dyDescent="0.35">
      <c r="A3" s="140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5" x14ac:dyDescent="0.3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zoomScale="84" zoomScaleNormal="84"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J14" sqref="J14"/>
    </sheetView>
  </sheetViews>
  <sheetFormatPr defaultRowHeight="14.5" x14ac:dyDescent="0.35"/>
  <cols>
    <col min="1" max="1" width="20.26953125" customWidth="1"/>
    <col min="2" max="2" width="17.26953125" customWidth="1"/>
    <col min="3" max="3" width="19.26953125" bestFit="1" customWidth="1"/>
    <col min="7" max="7" width="12.54296875" customWidth="1"/>
    <col min="8" max="8" width="10.26953125" customWidth="1"/>
  </cols>
  <sheetData>
    <row r="1" spans="1:12" x14ac:dyDescent="0.35">
      <c r="A1" s="381" t="s">
        <v>53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2" x14ac:dyDescent="0.35">
      <c r="A2" s="25"/>
      <c r="B2" s="26"/>
      <c r="C2" s="26"/>
      <c r="D2" s="26"/>
      <c r="E2" s="27"/>
      <c r="F2" s="27"/>
      <c r="G2" s="374" t="s">
        <v>35</v>
      </c>
      <c r="H2" s="375"/>
      <c r="I2" s="375"/>
      <c r="J2" s="375"/>
      <c r="K2" s="376"/>
      <c r="L2" s="24"/>
    </row>
    <row r="3" spans="1:12" ht="21" x14ac:dyDescent="0.35">
      <c r="A3" s="140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SUM(D5:D101)</f>
        <v>5143</v>
      </c>
      <c r="E4" s="30">
        <f>SUM(E5:E101)</f>
        <v>700</v>
      </c>
      <c r="F4" s="30">
        <f>SUM(F5:F101)</f>
        <v>0</v>
      </c>
      <c r="G4" s="30"/>
      <c r="H4" s="30">
        <f>SUM(H5:H101)</f>
        <v>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700</v>
      </c>
    </row>
    <row r="5" spans="1:12" s="243" customFormat="1" ht="26.25" customHeight="1" x14ac:dyDescent="0.35">
      <c r="A5" s="248">
        <v>46025</v>
      </c>
      <c r="B5" s="242">
        <v>10870</v>
      </c>
      <c r="C5" s="242" t="s">
        <v>177</v>
      </c>
      <c r="D5" s="242">
        <v>5143</v>
      </c>
      <c r="E5" s="242">
        <v>700</v>
      </c>
      <c r="F5" s="242"/>
      <c r="G5" s="242" t="s">
        <v>240</v>
      </c>
      <c r="H5" s="242"/>
      <c r="I5" s="242"/>
      <c r="J5" s="242"/>
      <c r="K5" s="242"/>
      <c r="L5" s="242"/>
    </row>
    <row r="6" spans="1:12" x14ac:dyDescent="0.35">
      <c r="A6" s="248"/>
      <c r="B6" s="249"/>
      <c r="C6" s="250"/>
      <c r="D6" s="249"/>
      <c r="E6" s="249"/>
      <c r="F6" s="249"/>
      <c r="G6" s="249"/>
      <c r="H6" s="251"/>
      <c r="I6" s="251"/>
      <c r="J6" s="251"/>
      <c r="K6" s="251"/>
      <c r="L6" s="252"/>
    </row>
    <row r="7" spans="1:12" x14ac:dyDescent="0.35">
      <c r="A7" s="248"/>
      <c r="B7" s="32"/>
      <c r="C7" s="181"/>
      <c r="D7" s="33"/>
      <c r="E7" s="33"/>
      <c r="F7" s="33"/>
      <c r="G7" s="33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5" x14ac:dyDescent="0.3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2">
    <mergeCell ref="A1:L1"/>
    <mergeCell ref="G2:K2"/>
  </mergeCells>
  <pageMargins left="0.25" right="0.25" top="0.75" bottom="0.75" header="0.3" footer="0.3"/>
  <pageSetup paperSize="9" scale="7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4.5" x14ac:dyDescent="0.35"/>
  <cols>
    <col min="1" max="1" width="13" customWidth="1"/>
    <col min="2" max="2" width="23.81640625" customWidth="1"/>
    <col min="3" max="3" width="18" customWidth="1"/>
    <col min="4" max="4" width="15.1796875" customWidth="1"/>
    <col min="5" max="5" width="19.54296875" customWidth="1"/>
  </cols>
  <sheetData>
    <row r="1" spans="1:6" x14ac:dyDescent="0.35">
      <c r="A1" s="45"/>
      <c r="B1" s="382" t="s">
        <v>54</v>
      </c>
      <c r="C1" s="382"/>
      <c r="D1" s="382"/>
      <c r="E1" s="46"/>
    </row>
    <row r="2" spans="1:6" x14ac:dyDescent="0.35">
      <c r="A2" s="45"/>
      <c r="B2" s="382"/>
      <c r="C2" s="382"/>
      <c r="D2" s="382"/>
      <c r="E2" s="46"/>
    </row>
    <row r="3" spans="1:6" x14ac:dyDescent="0.35">
      <c r="A3" s="47"/>
      <c r="B3" s="47"/>
      <c r="C3" s="48" t="s">
        <v>23</v>
      </c>
      <c r="D3" s="48">
        <f>SUM(D4:D38)</f>
        <v>1450</v>
      </c>
      <c r="E3" s="47"/>
    </row>
    <row r="4" spans="1:6" x14ac:dyDescent="0.3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x14ac:dyDescent="0.35">
      <c r="A5" s="49">
        <v>46023</v>
      </c>
      <c r="B5" s="50" t="s">
        <v>178</v>
      </c>
      <c r="C5" s="50" t="s">
        <v>135</v>
      </c>
      <c r="D5" s="50">
        <v>120</v>
      </c>
      <c r="E5" s="51"/>
    </row>
    <row r="6" spans="1:6" s="243" customFormat="1" x14ac:dyDescent="0.35">
      <c r="A6" s="254">
        <v>46025</v>
      </c>
      <c r="B6" s="255" t="s">
        <v>176</v>
      </c>
      <c r="C6" s="255" t="s">
        <v>135</v>
      </c>
      <c r="D6" s="255">
        <v>400</v>
      </c>
      <c r="E6" s="246"/>
    </row>
    <row r="7" spans="1:6" ht="32.25" customHeight="1" x14ac:dyDescent="0.35">
      <c r="A7" s="254">
        <v>46027</v>
      </c>
      <c r="B7" s="255" t="s">
        <v>176</v>
      </c>
      <c r="C7" s="255" t="s">
        <v>135</v>
      </c>
      <c r="D7" s="255">
        <v>400</v>
      </c>
      <c r="E7" s="246"/>
    </row>
    <row r="8" spans="1:6" x14ac:dyDescent="0.35">
      <c r="A8" s="254">
        <v>46028</v>
      </c>
      <c r="B8" s="255" t="s">
        <v>151</v>
      </c>
      <c r="C8" s="255" t="s">
        <v>135</v>
      </c>
      <c r="D8" s="255">
        <v>150</v>
      </c>
      <c r="E8" s="256" t="s">
        <v>195</v>
      </c>
    </row>
    <row r="9" spans="1:6" x14ac:dyDescent="0.35">
      <c r="A9" s="253">
        <v>45663</v>
      </c>
      <c r="B9" s="245" t="s">
        <v>151</v>
      </c>
      <c r="C9" s="255" t="s">
        <v>135</v>
      </c>
      <c r="D9" s="245">
        <v>150</v>
      </c>
      <c r="E9" s="246" t="s">
        <v>195</v>
      </c>
    </row>
    <row r="10" spans="1:6" x14ac:dyDescent="0.35">
      <c r="A10" s="253">
        <v>45663</v>
      </c>
      <c r="B10" s="210" t="s">
        <v>151</v>
      </c>
      <c r="C10" s="255" t="s">
        <v>135</v>
      </c>
      <c r="D10" s="210">
        <v>100</v>
      </c>
      <c r="E10" s="54"/>
    </row>
    <row r="11" spans="1:6" x14ac:dyDescent="0.35">
      <c r="A11" s="253">
        <v>45667</v>
      </c>
      <c r="B11" s="210" t="s">
        <v>208</v>
      </c>
      <c r="C11" s="210" t="s">
        <v>135</v>
      </c>
      <c r="D11" s="210">
        <v>130</v>
      </c>
      <c r="E11" s="76"/>
    </row>
    <row r="12" spans="1:6" x14ac:dyDescent="0.35">
      <c r="A12" s="222"/>
      <c r="B12" s="209"/>
      <c r="C12" s="207"/>
      <c r="D12" s="247"/>
      <c r="E12" s="75"/>
    </row>
    <row r="13" spans="1:6" x14ac:dyDescent="0.35">
      <c r="A13" s="222"/>
      <c r="B13" s="199"/>
      <c r="C13" s="200"/>
      <c r="D13" s="201"/>
      <c r="E13" s="54"/>
      <c r="F13" s="73"/>
    </row>
    <row r="14" spans="1:6" x14ac:dyDescent="0.35">
      <c r="A14" s="222"/>
      <c r="B14" s="199"/>
      <c r="C14" s="200"/>
      <c r="D14" s="201"/>
      <c r="E14" s="54"/>
      <c r="F14" s="73"/>
    </row>
    <row r="15" spans="1:6" x14ac:dyDescent="0.35">
      <c r="A15" s="198"/>
      <c r="B15" s="199"/>
      <c r="C15" s="200"/>
      <c r="D15" s="201"/>
      <c r="E15" s="54"/>
      <c r="F15" s="73"/>
    </row>
    <row r="16" spans="1:6" x14ac:dyDescent="0.35">
      <c r="A16" s="206"/>
      <c r="B16" s="207"/>
      <c r="C16" s="207"/>
      <c r="D16" s="208"/>
      <c r="E16" s="76"/>
    </row>
    <row r="17" spans="1:5" x14ac:dyDescent="0.35">
      <c r="A17" s="206"/>
      <c r="B17" s="207"/>
      <c r="C17" s="207"/>
      <c r="D17" s="208"/>
      <c r="E17" s="76"/>
    </row>
    <row r="18" spans="1:5" x14ac:dyDescent="0.35">
      <c r="A18" s="206"/>
      <c r="B18" s="207"/>
      <c r="C18" s="207"/>
      <c r="D18" s="208"/>
      <c r="E18" s="76"/>
    </row>
    <row r="19" spans="1:5" x14ac:dyDescent="0.35">
      <c r="A19" s="56"/>
      <c r="B19" s="54"/>
      <c r="C19" s="54"/>
      <c r="D19" s="54"/>
      <c r="E19" s="54"/>
    </row>
    <row r="20" spans="1:5" x14ac:dyDescent="0.35">
      <c r="A20" s="56"/>
      <c r="B20" s="54"/>
      <c r="C20" s="54"/>
      <c r="D20" s="54"/>
      <c r="E20" s="54"/>
    </row>
    <row r="21" spans="1:5" x14ac:dyDescent="0.35">
      <c r="A21" s="56"/>
      <c r="B21" s="54"/>
      <c r="C21" s="54"/>
      <c r="D21" s="54"/>
      <c r="E21" s="54"/>
    </row>
    <row r="22" spans="1:5" x14ac:dyDescent="0.35">
      <c r="A22" s="56"/>
      <c r="B22" s="54"/>
      <c r="C22" s="54"/>
      <c r="D22" s="54"/>
      <c r="E22" s="54"/>
    </row>
    <row r="23" spans="1:5" x14ac:dyDescent="0.35">
      <c r="A23" s="56"/>
      <c r="B23" s="54"/>
      <c r="C23" s="54"/>
      <c r="D23" s="54"/>
      <c r="E23" s="54"/>
    </row>
    <row r="24" spans="1:5" x14ac:dyDescent="0.35">
      <c r="A24" s="56"/>
      <c r="B24" s="54"/>
      <c r="C24" s="54"/>
      <c r="D24" s="54"/>
      <c r="E24" s="54"/>
    </row>
    <row r="25" spans="1:5" x14ac:dyDescent="0.35">
      <c r="A25" s="56"/>
      <c r="B25" s="54"/>
      <c r="C25" s="54"/>
      <c r="D25" s="54"/>
      <c r="E25" s="54"/>
    </row>
    <row r="26" spans="1:5" x14ac:dyDescent="0.35">
      <c r="A26" s="56"/>
      <c r="B26" s="54"/>
      <c r="C26" s="54"/>
      <c r="D26" s="54"/>
      <c r="E26" s="54"/>
    </row>
    <row r="27" spans="1:5" x14ac:dyDescent="0.35">
      <c r="A27" s="56"/>
      <c r="B27" s="54"/>
      <c r="C27" s="54"/>
      <c r="D27" s="54"/>
      <c r="E27" s="54"/>
    </row>
    <row r="28" spans="1:5" x14ac:dyDescent="0.35">
      <c r="A28" s="56"/>
      <c r="B28" s="54"/>
      <c r="C28" s="54"/>
      <c r="D28" s="54"/>
      <c r="E28" s="54"/>
    </row>
    <row r="29" spans="1:5" x14ac:dyDescent="0.35">
      <c r="A29" s="56"/>
      <c r="B29" s="54"/>
      <c r="C29" s="54"/>
      <c r="D29" s="54"/>
      <c r="E29" s="54"/>
    </row>
    <row r="30" spans="1:5" x14ac:dyDescent="0.35">
      <c r="A30" s="56"/>
      <c r="B30" s="54"/>
      <c r="C30" s="54"/>
      <c r="D30" s="54"/>
      <c r="E30" s="54"/>
    </row>
    <row r="31" spans="1:5" x14ac:dyDescent="0.35">
      <c r="A31" s="56"/>
      <c r="B31" s="54"/>
      <c r="C31" s="54"/>
      <c r="D31" s="54"/>
      <c r="E31" s="54"/>
    </row>
    <row r="32" spans="1:5" x14ac:dyDescent="0.35">
      <c r="A32" s="56"/>
      <c r="B32" s="54"/>
      <c r="C32" s="54"/>
      <c r="D32" s="54"/>
      <c r="E32" s="54"/>
    </row>
    <row r="33" spans="1:5" x14ac:dyDescent="0.35">
      <c r="A33" s="56"/>
      <c r="B33" s="54"/>
      <c r="C33" s="54"/>
      <c r="D33" s="54"/>
      <c r="E33" s="54"/>
    </row>
    <row r="34" spans="1:5" x14ac:dyDescent="0.35">
      <c r="A34" s="56"/>
      <c r="B34" s="54"/>
      <c r="C34" s="54"/>
      <c r="D34" s="54"/>
      <c r="E34" s="54"/>
    </row>
    <row r="35" spans="1:5" x14ac:dyDescent="0.35">
      <c r="A35" s="56"/>
      <c r="B35" s="54"/>
      <c r="C35" s="54"/>
      <c r="D35" s="54"/>
      <c r="E35" s="54"/>
    </row>
    <row r="36" spans="1:5" x14ac:dyDescent="0.35">
      <c r="A36" s="56"/>
      <c r="B36" s="54"/>
      <c r="C36" s="54"/>
      <c r="D36" s="54"/>
      <c r="E36" s="54"/>
    </row>
    <row r="37" spans="1:5" x14ac:dyDescent="0.35">
      <c r="A37" s="56"/>
      <c r="B37" s="54"/>
      <c r="C37" s="54"/>
      <c r="D37" s="54"/>
      <c r="E37" s="54"/>
    </row>
    <row r="38" spans="1:5" x14ac:dyDescent="0.35">
      <c r="A38" s="56"/>
      <c r="B38" s="54"/>
      <c r="C38" s="54"/>
      <c r="D38" s="54"/>
      <c r="E38" s="54"/>
    </row>
  </sheetData>
  <mergeCells count="1">
    <mergeCell ref="B1:D2"/>
  </mergeCells>
  <dataValidations count="1">
    <dataValidation type="whole" allowBlank="1" showInputMessage="1" showErrorMessage="1" sqref="E11:E12 E16:E18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4.5" x14ac:dyDescent="0.35"/>
  <cols>
    <col min="1" max="1" width="24.7265625" customWidth="1"/>
    <col min="2" max="5" width="20.7265625" customWidth="1"/>
    <col min="6" max="6" width="14.7265625" customWidth="1"/>
    <col min="7" max="7" width="15.81640625" customWidth="1"/>
    <col min="9" max="9" width="9.1796875" customWidth="1"/>
  </cols>
  <sheetData>
    <row r="1" spans="1:17" ht="21" x14ac:dyDescent="0.35">
      <c r="A1" s="45"/>
      <c r="B1" s="382" t="s">
        <v>58</v>
      </c>
      <c r="C1" s="382"/>
      <c r="D1" s="263"/>
      <c r="E1" s="263"/>
      <c r="F1" s="58"/>
      <c r="G1" s="46"/>
    </row>
    <row r="2" spans="1:17" x14ac:dyDescent="0.3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3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29" x14ac:dyDescent="0.35">
      <c r="A4" s="52" t="s">
        <v>155</v>
      </c>
      <c r="B4" s="53" t="s">
        <v>156</v>
      </c>
      <c r="C4" s="264">
        <v>44957</v>
      </c>
      <c r="D4" s="265" t="s">
        <v>157</v>
      </c>
      <c r="E4" s="55" t="s">
        <v>158</v>
      </c>
      <c r="F4" s="55"/>
      <c r="G4" s="54" t="s">
        <v>159</v>
      </c>
    </row>
    <row r="5" spans="1:17" x14ac:dyDescent="0.35">
      <c r="A5" s="56" t="s">
        <v>160</v>
      </c>
      <c r="B5" s="57" t="s">
        <v>161</v>
      </c>
      <c r="C5" s="264">
        <v>44957</v>
      </c>
      <c r="D5" s="54"/>
      <c r="E5" s="54"/>
      <c r="F5" s="55"/>
      <c r="G5" s="54" t="s">
        <v>159</v>
      </c>
    </row>
    <row r="6" spans="1:17" x14ac:dyDescent="0.35">
      <c r="K6" s="52"/>
      <c r="L6" s="53"/>
      <c r="M6" s="264"/>
      <c r="N6" s="265"/>
      <c r="O6" s="55"/>
      <c r="P6" s="55"/>
      <c r="Q6" s="54"/>
    </row>
    <row r="7" spans="1:17" x14ac:dyDescent="0.35">
      <c r="K7" s="56"/>
      <c r="L7" s="57"/>
      <c r="M7" s="264"/>
      <c r="N7" s="54"/>
      <c r="O7" s="54"/>
      <c r="P7" s="55"/>
      <c r="Q7" s="54"/>
    </row>
    <row r="9" spans="1:17" x14ac:dyDescent="0.35">
      <c r="F9" t="s">
        <v>162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4.5" x14ac:dyDescent="0.35"/>
  <cols>
    <col min="1" max="1" width="15" customWidth="1"/>
    <col min="2" max="2" width="16.7265625" customWidth="1"/>
    <col min="3" max="3" width="18" customWidth="1"/>
    <col min="4" max="4" width="16.7265625" customWidth="1"/>
    <col min="5" max="5" width="14.1796875" customWidth="1"/>
    <col min="6" max="6" width="19.453125" customWidth="1"/>
  </cols>
  <sheetData>
    <row r="1" spans="1:6" ht="21" x14ac:dyDescent="0.35">
      <c r="A1" s="383" t="s">
        <v>61</v>
      </c>
      <c r="B1" s="384"/>
      <c r="C1" s="384"/>
      <c r="D1" s="385"/>
      <c r="E1" s="385"/>
      <c r="F1" s="386"/>
    </row>
    <row r="2" spans="1:6" x14ac:dyDescent="0.3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3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35">
      <c r="A4" s="56"/>
      <c r="B4" s="54"/>
      <c r="C4" s="54"/>
      <c r="D4" s="54"/>
      <c r="E4" s="54"/>
      <c r="F4" s="54"/>
    </row>
    <row r="5" spans="1:6" x14ac:dyDescent="0.35">
      <c r="A5" s="56"/>
      <c r="B5" s="54"/>
      <c r="C5" s="54"/>
      <c r="D5" s="55"/>
      <c r="E5" s="55"/>
      <c r="F5" s="54"/>
    </row>
    <row r="6" spans="1:6" x14ac:dyDescent="0.35">
      <c r="A6" s="56"/>
      <c r="B6" s="54"/>
      <c r="C6" s="54"/>
      <c r="D6" s="54"/>
      <c r="E6" s="54"/>
      <c r="F6" s="54"/>
    </row>
    <row r="7" spans="1:6" x14ac:dyDescent="0.35">
      <c r="A7" s="56"/>
      <c r="B7" s="54"/>
      <c r="C7" s="54"/>
      <c r="D7" s="54"/>
      <c r="E7" s="54"/>
      <c r="F7" s="54"/>
    </row>
    <row r="8" spans="1:6" x14ac:dyDescent="0.35">
      <c r="A8" s="56"/>
      <c r="B8" s="54"/>
      <c r="C8" s="54"/>
      <c r="D8" s="54"/>
      <c r="E8" s="54"/>
      <c r="F8" s="54"/>
    </row>
    <row r="9" spans="1:6" x14ac:dyDescent="0.35">
      <c r="A9" s="56"/>
      <c r="B9" s="54"/>
      <c r="C9" s="54"/>
      <c r="D9" s="54"/>
      <c r="E9" s="54"/>
      <c r="F9" s="54"/>
    </row>
    <row r="10" spans="1:6" x14ac:dyDescent="0.35">
      <c r="A10" s="56"/>
      <c r="B10" s="54"/>
      <c r="C10" s="54"/>
      <c r="D10" s="54"/>
      <c r="E10" s="54"/>
      <c r="F10" s="54"/>
    </row>
    <row r="11" spans="1:6" x14ac:dyDescent="0.35">
      <c r="A11" s="56"/>
      <c r="B11" s="54"/>
      <c r="C11" s="54"/>
      <c r="D11" s="54"/>
      <c r="E11" s="54"/>
      <c r="F11" s="54"/>
    </row>
    <row r="12" spans="1:6" x14ac:dyDescent="0.35">
      <c r="A12" s="56"/>
      <c r="B12" s="54"/>
      <c r="C12" s="54"/>
      <c r="D12" s="54"/>
      <c r="E12" s="54"/>
      <c r="F12" s="54"/>
    </row>
    <row r="13" spans="1:6" x14ac:dyDescent="0.35">
      <c r="A13" s="56"/>
      <c r="B13" s="54"/>
      <c r="C13" s="54"/>
      <c r="D13" s="54"/>
      <c r="E13" s="54"/>
      <c r="F13" s="54"/>
    </row>
    <row r="14" spans="1:6" x14ac:dyDescent="0.35">
      <c r="A14" s="56"/>
      <c r="B14" s="54"/>
      <c r="C14" s="54"/>
      <c r="D14" s="54"/>
      <c r="E14" s="54"/>
      <c r="F14" s="54"/>
    </row>
    <row r="15" spans="1:6" x14ac:dyDescent="0.35">
      <c r="A15" s="56"/>
      <c r="B15" s="54"/>
      <c r="C15" s="54"/>
      <c r="D15" s="54"/>
      <c r="E15" s="54"/>
      <c r="F15" s="54"/>
    </row>
    <row r="16" spans="1:6" x14ac:dyDescent="0.35">
      <c r="A16" s="56"/>
      <c r="B16" s="54"/>
      <c r="C16" s="54"/>
      <c r="D16" s="54"/>
      <c r="E16" s="54"/>
      <c r="F16" s="54"/>
    </row>
    <row r="17" spans="1:6" x14ac:dyDescent="0.35">
      <c r="A17" s="56"/>
      <c r="B17" s="54"/>
      <c r="C17" s="54"/>
      <c r="D17" s="54"/>
      <c r="E17" s="54"/>
      <c r="F17" s="54"/>
    </row>
    <row r="18" spans="1:6" x14ac:dyDescent="0.35">
      <c r="A18" s="56"/>
      <c r="B18" s="54"/>
      <c r="C18" s="54"/>
      <c r="D18" s="54"/>
      <c r="E18" s="54"/>
      <c r="F18" s="54"/>
    </row>
    <row r="19" spans="1:6" x14ac:dyDescent="0.35">
      <c r="A19" s="56"/>
      <c r="B19" s="54"/>
      <c r="C19" s="54"/>
      <c r="D19" s="54"/>
      <c r="E19" s="54"/>
      <c r="F19" s="54"/>
    </row>
    <row r="20" spans="1:6" x14ac:dyDescent="0.35">
      <c r="A20" s="56"/>
      <c r="B20" s="54"/>
      <c r="C20" s="54"/>
      <c r="D20" s="54"/>
      <c r="E20" s="54"/>
      <c r="F20" s="54"/>
    </row>
    <row r="21" spans="1:6" x14ac:dyDescent="0.35">
      <c r="A21" s="56"/>
      <c r="B21" s="54"/>
      <c r="C21" s="54"/>
      <c r="D21" s="54"/>
      <c r="E21" s="54"/>
      <c r="F21" s="54"/>
    </row>
    <row r="22" spans="1:6" x14ac:dyDescent="0.35">
      <c r="A22" s="56"/>
      <c r="B22" s="54"/>
      <c r="C22" s="54"/>
      <c r="D22" s="54"/>
      <c r="E22" s="54"/>
      <c r="F22" s="54"/>
    </row>
    <row r="23" spans="1:6" x14ac:dyDescent="0.35">
      <c r="A23" s="56"/>
      <c r="B23" s="54"/>
      <c r="C23" s="54"/>
      <c r="D23" s="54"/>
      <c r="E23" s="54"/>
      <c r="F23" s="54"/>
    </row>
    <row r="24" spans="1:6" x14ac:dyDescent="0.35">
      <c r="A24" s="56"/>
      <c r="B24" s="54"/>
      <c r="C24" s="54"/>
      <c r="D24" s="54"/>
      <c r="E24" s="54"/>
      <c r="F24" s="54"/>
    </row>
    <row r="25" spans="1:6" x14ac:dyDescent="0.3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sqref="A1:F4"/>
    </sheetView>
  </sheetViews>
  <sheetFormatPr defaultRowHeight="14.5" x14ac:dyDescent="0.35"/>
  <cols>
    <col min="1" max="1" width="10.1796875" bestFit="1" customWidth="1"/>
    <col min="2" max="2" width="24.1796875" customWidth="1"/>
    <col min="3" max="3" width="15.7265625" customWidth="1"/>
    <col min="4" max="4" width="11.26953125" style="47" customWidth="1"/>
    <col min="5" max="5" width="11.54296875" style="47" customWidth="1"/>
    <col min="6" max="6" width="16.26953125" customWidth="1"/>
  </cols>
  <sheetData>
    <row r="1" spans="1:6" ht="21" x14ac:dyDescent="0.35">
      <c r="A1" s="65"/>
      <c r="B1" s="387" t="s">
        <v>63</v>
      </c>
      <c r="C1" s="388"/>
      <c r="D1" s="388"/>
      <c r="E1" s="388"/>
      <c r="F1" s="67"/>
    </row>
    <row r="2" spans="1:6" ht="21" x14ac:dyDescent="0.35">
      <c r="A2" s="65"/>
      <c r="B2" s="66"/>
      <c r="C2" s="65"/>
      <c r="D2" s="68" t="s">
        <v>23</v>
      </c>
      <c r="E2" s="69">
        <f>SUM(E4:E23)</f>
        <v>480</v>
      </c>
      <c r="F2" s="67"/>
    </row>
    <row r="3" spans="1:6" x14ac:dyDescent="0.3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35">
      <c r="A4" s="202">
        <v>45665</v>
      </c>
      <c r="B4" s="203" t="s">
        <v>209</v>
      </c>
      <c r="C4" s="204" t="s">
        <v>135</v>
      </c>
      <c r="D4" s="205">
        <v>1</v>
      </c>
      <c r="E4" s="76">
        <v>480</v>
      </c>
      <c r="F4" s="73"/>
    </row>
    <row r="5" spans="1:6" x14ac:dyDescent="0.35">
      <c r="A5" s="202"/>
      <c r="B5" s="203"/>
      <c r="C5" s="207"/>
      <c r="D5" s="208"/>
      <c r="E5" s="76"/>
      <c r="F5" s="73"/>
    </row>
    <row r="6" spans="1:6" x14ac:dyDescent="0.35">
      <c r="A6" s="202"/>
      <c r="F6" s="74"/>
    </row>
    <row r="7" spans="1:6" x14ac:dyDescent="0.35">
      <c r="A7" s="202"/>
      <c r="B7" s="73"/>
      <c r="C7" s="73"/>
      <c r="D7" s="76"/>
      <c r="E7" s="76"/>
      <c r="F7" s="73"/>
    </row>
    <row r="8" spans="1:6" x14ac:dyDescent="0.35">
      <c r="A8" s="102"/>
      <c r="B8" s="102"/>
      <c r="C8" s="102"/>
      <c r="D8" s="210"/>
      <c r="E8" s="210"/>
      <c r="F8" s="102"/>
    </row>
    <row r="9" spans="1:6" x14ac:dyDescent="0.35">
      <c r="A9" s="102"/>
      <c r="B9" s="102"/>
      <c r="C9" s="102"/>
      <c r="D9" s="210"/>
      <c r="E9" s="210"/>
      <c r="F9" s="102"/>
    </row>
    <row r="10" spans="1:6" x14ac:dyDescent="0.35">
      <c r="A10" s="72"/>
      <c r="B10" s="73"/>
      <c r="C10" s="73"/>
      <c r="D10" s="76"/>
      <c r="E10" s="76"/>
      <c r="F10" s="102"/>
    </row>
    <row r="11" spans="1:6" ht="15.5" x14ac:dyDescent="0.35">
      <c r="A11" s="72"/>
      <c r="B11" s="73"/>
      <c r="C11" s="73"/>
      <c r="D11" s="76"/>
      <c r="E11" s="196"/>
      <c r="F11" s="73"/>
    </row>
    <row r="12" spans="1:6" x14ac:dyDescent="0.35">
      <c r="A12" s="72"/>
      <c r="B12" s="73"/>
      <c r="C12" s="73"/>
      <c r="D12" s="76"/>
      <c r="E12" s="76"/>
      <c r="F12" s="73"/>
    </row>
    <row r="13" spans="1:6" x14ac:dyDescent="0.35">
      <c r="A13" s="72"/>
      <c r="B13" s="73"/>
      <c r="C13" s="73"/>
      <c r="D13" s="76"/>
      <c r="E13" s="76"/>
      <c r="F13" s="73"/>
    </row>
    <row r="14" spans="1:6" x14ac:dyDescent="0.35">
      <c r="A14" s="72"/>
      <c r="B14" s="73"/>
      <c r="C14" s="73"/>
      <c r="D14" s="76"/>
      <c r="E14" s="76"/>
      <c r="F14" s="73"/>
    </row>
    <row r="15" spans="1:6" x14ac:dyDescent="0.35">
      <c r="A15" s="72"/>
      <c r="B15" s="73"/>
      <c r="C15" s="73"/>
      <c r="D15" s="76"/>
      <c r="E15" s="76"/>
      <c r="F15" s="73"/>
    </row>
    <row r="16" spans="1:6" x14ac:dyDescent="0.35">
      <c r="A16" s="72"/>
      <c r="B16" s="73"/>
      <c r="C16" s="73"/>
      <c r="D16" s="76"/>
      <c r="E16" s="76"/>
      <c r="F16" s="73"/>
    </row>
    <row r="17" spans="1:6" x14ac:dyDescent="0.35">
      <c r="A17" s="72"/>
      <c r="B17" s="73"/>
      <c r="C17" s="73"/>
      <c r="D17" s="76"/>
      <c r="E17" s="76"/>
      <c r="F17" s="73"/>
    </row>
    <row r="18" spans="1:6" x14ac:dyDescent="0.35">
      <c r="A18" s="72"/>
      <c r="B18" s="73"/>
      <c r="C18" s="73"/>
      <c r="D18" s="76"/>
      <c r="E18" s="76"/>
      <c r="F18" s="73"/>
    </row>
    <row r="19" spans="1:6" x14ac:dyDescent="0.35">
      <c r="A19" s="72"/>
      <c r="B19" s="73"/>
      <c r="C19" s="73"/>
      <c r="D19" s="76"/>
      <c r="E19" s="76"/>
      <c r="F19" s="73"/>
    </row>
    <row r="20" spans="1:6" x14ac:dyDescent="0.35">
      <c r="A20" s="72"/>
      <c r="B20" s="73"/>
      <c r="C20" s="73"/>
      <c r="D20" s="76"/>
      <c r="E20" s="76"/>
      <c r="F20" s="73"/>
    </row>
    <row r="21" spans="1:6" x14ac:dyDescent="0.35">
      <c r="A21" s="72"/>
      <c r="B21" s="73"/>
      <c r="C21" s="73"/>
      <c r="D21" s="76"/>
      <c r="E21" s="76"/>
      <c r="F21" s="73"/>
    </row>
    <row r="22" spans="1:6" x14ac:dyDescent="0.35">
      <c r="A22" s="72"/>
      <c r="B22" s="73"/>
      <c r="C22" s="73"/>
      <c r="D22" s="76"/>
      <c r="E22" s="76"/>
      <c r="F22" s="73"/>
    </row>
    <row r="23" spans="1:6" x14ac:dyDescent="0.35">
      <c r="A23" s="72"/>
      <c r="B23" s="73"/>
      <c r="C23" s="73"/>
      <c r="D23" s="76"/>
      <c r="E23" s="76"/>
      <c r="F23" s="73"/>
    </row>
    <row r="24" spans="1:6" x14ac:dyDescent="0.35">
      <c r="F24" s="73"/>
    </row>
    <row r="25" spans="1:6" x14ac:dyDescent="0.35">
      <c r="F25" s="73"/>
    </row>
    <row r="26" spans="1:6" x14ac:dyDescent="0.3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4.5" x14ac:dyDescent="0.35"/>
  <cols>
    <col min="2" max="2" width="24.26953125" customWidth="1"/>
    <col min="3" max="3" width="11.26953125" customWidth="1"/>
    <col min="4" max="4" width="13.7265625" customWidth="1"/>
    <col min="5" max="5" width="13.453125" customWidth="1"/>
  </cols>
  <sheetData>
    <row r="1" spans="1:5" ht="15.5" x14ac:dyDescent="0.35">
      <c r="A1" s="389" t="s">
        <v>64</v>
      </c>
      <c r="B1" s="389"/>
      <c r="C1" s="389"/>
      <c r="D1" s="389"/>
      <c r="E1" s="389"/>
    </row>
    <row r="2" spans="1:5" x14ac:dyDescent="0.35">
      <c r="A2" s="77"/>
      <c r="B2" s="77"/>
      <c r="C2" s="78" t="s">
        <v>23</v>
      </c>
      <c r="D2" s="78">
        <f>SUM(D4:D9)</f>
        <v>0</v>
      </c>
      <c r="E2" s="77"/>
    </row>
    <row r="3" spans="1:5" x14ac:dyDescent="0.3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35">
      <c r="A4" s="55"/>
      <c r="B4" s="55"/>
      <c r="C4" s="55"/>
      <c r="D4" s="55"/>
      <c r="E4" s="55"/>
    </row>
    <row r="5" spans="1:5" x14ac:dyDescent="0.35">
      <c r="A5" s="55"/>
      <c r="B5" s="55"/>
      <c r="C5" s="55"/>
      <c r="D5" s="55"/>
      <c r="E5" s="55"/>
    </row>
    <row r="6" spans="1:5" x14ac:dyDescent="0.35">
      <c r="A6" s="55"/>
      <c r="B6" s="55"/>
      <c r="C6" s="55"/>
      <c r="D6" s="55"/>
      <c r="E6" s="55"/>
    </row>
    <row r="7" spans="1:5" x14ac:dyDescent="0.35">
      <c r="A7" s="55"/>
      <c r="B7" s="55"/>
      <c r="C7" s="55"/>
      <c r="D7" s="55"/>
      <c r="E7" s="55"/>
    </row>
    <row r="8" spans="1:5" x14ac:dyDescent="0.35">
      <c r="A8" s="55"/>
      <c r="B8" s="55"/>
      <c r="C8" s="55"/>
      <c r="D8" s="55"/>
      <c r="E8" s="55"/>
    </row>
    <row r="9" spans="1:5" x14ac:dyDescent="0.35">
      <c r="A9" s="55"/>
      <c r="B9" s="55"/>
      <c r="C9" s="55"/>
      <c r="D9" s="55"/>
      <c r="E9" s="55"/>
    </row>
    <row r="10" spans="1:5" x14ac:dyDescent="0.35">
      <c r="A10" s="77"/>
      <c r="B10" s="77"/>
      <c r="C10" s="77"/>
      <c r="D10" s="77"/>
      <c r="E10" s="77"/>
    </row>
    <row r="11" spans="1:5" x14ac:dyDescent="0.35">
      <c r="A11" s="77"/>
      <c r="B11" s="77"/>
      <c r="C11" s="77"/>
      <c r="D11" s="77"/>
      <c r="E11" s="77"/>
    </row>
    <row r="12" spans="1:5" ht="15.5" x14ac:dyDescent="0.35">
      <c r="A12" s="389" t="s">
        <v>17</v>
      </c>
      <c r="B12" s="389"/>
      <c r="C12" s="389"/>
      <c r="D12" s="389"/>
      <c r="E12" s="389"/>
    </row>
    <row r="13" spans="1:5" x14ac:dyDescent="0.3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3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35">
      <c r="A15" s="55"/>
      <c r="B15" s="55"/>
      <c r="C15" s="55"/>
      <c r="D15" s="55"/>
      <c r="E15" s="55"/>
    </row>
    <row r="16" spans="1:5" x14ac:dyDescent="0.35">
      <c r="A16" s="55"/>
      <c r="B16" s="55"/>
      <c r="C16" s="55"/>
      <c r="D16" s="55"/>
      <c r="E16" s="55"/>
    </row>
    <row r="17" spans="1:5" x14ac:dyDescent="0.35">
      <c r="A17" s="55"/>
      <c r="B17" s="55"/>
      <c r="C17" s="55"/>
      <c r="D17" s="55"/>
      <c r="E17" s="55"/>
    </row>
    <row r="18" spans="1:5" x14ac:dyDescent="0.35">
      <c r="A18" s="55"/>
      <c r="B18" s="55"/>
      <c r="C18" s="55"/>
      <c r="D18" s="55"/>
      <c r="E18" s="55"/>
    </row>
    <row r="19" spans="1:5" x14ac:dyDescent="0.35">
      <c r="A19" s="55"/>
      <c r="B19" s="55"/>
      <c r="C19" s="55"/>
      <c r="D19" s="55"/>
      <c r="E19" s="55"/>
    </row>
    <row r="20" spans="1:5" x14ac:dyDescent="0.35">
      <c r="A20" s="55"/>
      <c r="B20" s="55"/>
      <c r="C20" s="55"/>
      <c r="D20" s="55"/>
      <c r="E20" s="55"/>
    </row>
    <row r="21" spans="1:5" x14ac:dyDescent="0.35">
      <c r="A21" s="55"/>
      <c r="B21" s="55"/>
      <c r="C21" s="55"/>
      <c r="D21" s="55"/>
      <c r="E21" s="55"/>
    </row>
    <row r="22" spans="1:5" x14ac:dyDescent="0.35">
      <c r="A22" s="54"/>
      <c r="B22" s="54"/>
      <c r="C22" s="54"/>
      <c r="D22" s="54"/>
      <c r="E22" s="54"/>
    </row>
    <row r="23" spans="1:5" x14ac:dyDescent="0.35">
      <c r="A23" s="54"/>
      <c r="B23" s="54"/>
      <c r="C23" s="54"/>
      <c r="D23" s="54"/>
      <c r="E23" s="54"/>
    </row>
    <row r="24" spans="1:5" x14ac:dyDescent="0.35">
      <c r="A24" s="54"/>
      <c r="B24" s="54"/>
      <c r="C24" s="54"/>
      <c r="D24" s="54"/>
      <c r="E24" s="54"/>
    </row>
    <row r="25" spans="1:5" x14ac:dyDescent="0.3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4.5" x14ac:dyDescent="0.35"/>
  <cols>
    <col min="1" max="1" width="10.1796875" bestFit="1" customWidth="1"/>
    <col min="2" max="2" width="17" customWidth="1"/>
    <col min="3" max="3" width="17.7265625" customWidth="1"/>
    <col min="4" max="4" width="13.81640625" customWidth="1"/>
    <col min="5" max="5" width="14.54296875" customWidth="1"/>
  </cols>
  <sheetData>
    <row r="1" spans="1:5" ht="21" x14ac:dyDescent="0.35">
      <c r="A1" s="390" t="s">
        <v>66</v>
      </c>
      <c r="B1" s="390"/>
      <c r="C1" s="391"/>
      <c r="D1" s="391"/>
      <c r="E1" s="390"/>
    </row>
    <row r="2" spans="1:5" ht="21" x14ac:dyDescent="0.5">
      <c r="A2" s="82"/>
      <c r="B2" s="82"/>
      <c r="C2" s="83" t="s">
        <v>23</v>
      </c>
      <c r="D2" s="83">
        <f>SUM(D4:D16)</f>
        <v>0</v>
      </c>
      <c r="E2" s="82"/>
    </row>
    <row r="3" spans="1:5" x14ac:dyDescent="0.3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35">
      <c r="A4" s="72"/>
      <c r="B4" s="75"/>
      <c r="C4" s="76"/>
      <c r="D4" s="76"/>
      <c r="E4" s="73"/>
    </row>
    <row r="5" spans="1:5" x14ac:dyDescent="0.35">
      <c r="A5" s="72"/>
      <c r="B5" s="75"/>
      <c r="C5" s="76"/>
      <c r="D5" s="86"/>
      <c r="E5" s="87"/>
    </row>
    <row r="6" spans="1:5" x14ac:dyDescent="0.35">
      <c r="A6" s="72"/>
      <c r="B6" s="75"/>
      <c r="C6" s="76"/>
      <c r="D6" s="76"/>
      <c r="E6" s="73"/>
    </row>
    <row r="7" spans="1:5" x14ac:dyDescent="0.35">
      <c r="A7" s="72"/>
      <c r="B7" s="73"/>
      <c r="C7" s="73"/>
      <c r="D7" s="76"/>
      <c r="E7" s="73"/>
    </row>
    <row r="8" spans="1:5" x14ac:dyDescent="0.35">
      <c r="A8" s="72"/>
      <c r="B8" s="73"/>
      <c r="C8" s="73"/>
      <c r="D8" s="76"/>
      <c r="E8" s="73"/>
    </row>
    <row r="9" spans="1:5" x14ac:dyDescent="0.35">
      <c r="A9" s="72"/>
      <c r="B9" s="73"/>
      <c r="C9" s="73"/>
      <c r="D9" s="76"/>
      <c r="E9" s="73"/>
    </row>
    <row r="10" spans="1:5" x14ac:dyDescent="0.35">
      <c r="A10" s="72"/>
      <c r="B10" s="73"/>
      <c r="C10" s="73"/>
      <c r="D10" s="76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4.5" x14ac:dyDescent="0.35"/>
  <cols>
    <col min="1" max="1" width="15.54296875" bestFit="1" customWidth="1"/>
    <col min="2" max="2" width="17.26953125" bestFit="1" customWidth="1"/>
    <col min="3" max="3" width="12.54296875" customWidth="1"/>
    <col min="4" max="4" width="13.26953125" customWidth="1"/>
    <col min="5" max="5" width="17.26953125" customWidth="1"/>
  </cols>
  <sheetData>
    <row r="1" spans="1:5" ht="18.5" x14ac:dyDescent="0.35">
      <c r="A1" s="392" t="s">
        <v>19</v>
      </c>
      <c r="B1" s="392"/>
      <c r="C1" s="392"/>
      <c r="D1" s="392"/>
      <c r="E1" s="392"/>
    </row>
    <row r="2" spans="1:5" x14ac:dyDescent="0.35">
      <c r="A2" s="88"/>
      <c r="B2" s="65"/>
      <c r="C2" s="89" t="s">
        <v>23</v>
      </c>
      <c r="D2" s="89">
        <f>SUM(D4:D30)</f>
        <v>0</v>
      </c>
      <c r="E2" s="65"/>
    </row>
    <row r="3" spans="1:5" x14ac:dyDescent="0.3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35">
      <c r="A4" s="72"/>
      <c r="B4" s="73"/>
      <c r="C4" s="73"/>
      <c r="D4" s="73"/>
      <c r="E4" s="73"/>
    </row>
    <row r="5" spans="1:5" x14ac:dyDescent="0.35">
      <c r="A5" s="72"/>
      <c r="B5" s="73"/>
      <c r="C5" s="73"/>
      <c r="D5" s="73"/>
      <c r="E5" s="73"/>
    </row>
    <row r="6" spans="1:5" x14ac:dyDescent="0.35">
      <c r="A6" s="72"/>
      <c r="B6" s="73"/>
      <c r="C6" s="73"/>
      <c r="D6" s="73"/>
      <c r="E6" s="73"/>
    </row>
    <row r="7" spans="1:5" x14ac:dyDescent="0.35">
      <c r="A7" s="72"/>
      <c r="B7" s="73"/>
      <c r="C7" s="73"/>
      <c r="D7" s="73"/>
      <c r="E7" s="73"/>
    </row>
    <row r="8" spans="1:5" x14ac:dyDescent="0.35">
      <c r="A8" s="72"/>
      <c r="B8" s="73"/>
      <c r="C8" s="73"/>
      <c r="D8" s="73"/>
      <c r="E8" s="73"/>
    </row>
    <row r="9" spans="1:5" x14ac:dyDescent="0.35">
      <c r="A9" s="72"/>
      <c r="B9" s="73"/>
      <c r="C9" s="73"/>
      <c r="D9" s="73"/>
      <c r="E9" s="73"/>
    </row>
    <row r="10" spans="1:5" x14ac:dyDescent="0.35">
      <c r="A10" s="72"/>
      <c r="B10" s="73"/>
      <c r="C10" s="73"/>
      <c r="D10" s="73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  <row r="17" spans="1:5" x14ac:dyDescent="0.35">
      <c r="A17" s="72"/>
      <c r="B17" s="73"/>
      <c r="C17" s="73"/>
      <c r="D17" s="73"/>
      <c r="E17" s="73"/>
    </row>
    <row r="18" spans="1:5" x14ac:dyDescent="0.35">
      <c r="A18" s="72"/>
      <c r="B18" s="73"/>
      <c r="C18" s="73"/>
      <c r="D18" s="73"/>
      <c r="E18" s="73"/>
    </row>
    <row r="19" spans="1:5" x14ac:dyDescent="0.35">
      <c r="A19" s="72"/>
      <c r="B19" s="73"/>
      <c r="C19" s="73"/>
      <c r="D19" s="73"/>
      <c r="E19" s="73"/>
    </row>
    <row r="20" spans="1:5" x14ac:dyDescent="0.35">
      <c r="A20" s="72"/>
      <c r="B20" s="73"/>
      <c r="C20" s="73"/>
      <c r="D20" s="73"/>
      <c r="E20" s="73"/>
    </row>
    <row r="21" spans="1:5" x14ac:dyDescent="0.35">
      <c r="A21" s="72"/>
      <c r="B21" s="73"/>
      <c r="C21" s="73"/>
      <c r="D21" s="73"/>
      <c r="E21" s="73"/>
    </row>
    <row r="22" spans="1:5" x14ac:dyDescent="0.35">
      <c r="A22" s="72"/>
      <c r="B22" s="73"/>
      <c r="C22" s="73"/>
      <c r="D22" s="73"/>
      <c r="E22" s="73"/>
    </row>
    <row r="23" spans="1:5" x14ac:dyDescent="0.35">
      <c r="A23" s="72"/>
      <c r="B23" s="73"/>
      <c r="C23" s="73"/>
      <c r="D23" s="73"/>
      <c r="E23" s="73"/>
    </row>
    <row r="24" spans="1:5" x14ac:dyDescent="0.35">
      <c r="A24" s="72"/>
      <c r="B24" s="73"/>
      <c r="C24" s="73"/>
      <c r="D24" s="73"/>
      <c r="E24" s="73"/>
    </row>
    <row r="25" spans="1:5" x14ac:dyDescent="0.35">
      <c r="A25" s="72"/>
      <c r="B25" s="73"/>
      <c r="C25" s="73"/>
      <c r="D25" s="73"/>
      <c r="E25" s="73"/>
    </row>
    <row r="26" spans="1:5" x14ac:dyDescent="0.35">
      <c r="A26" s="72"/>
      <c r="B26" s="73"/>
      <c r="C26" s="73"/>
      <c r="D26" s="73"/>
      <c r="E26" s="73"/>
    </row>
    <row r="27" spans="1:5" x14ac:dyDescent="0.35">
      <c r="A27" s="72"/>
      <c r="B27" s="73"/>
      <c r="C27" s="73"/>
      <c r="D27" s="73"/>
      <c r="E27" s="73"/>
    </row>
    <row r="28" spans="1:5" x14ac:dyDescent="0.35">
      <c r="A28" s="72"/>
      <c r="B28" s="73"/>
      <c r="C28" s="73"/>
      <c r="D28" s="73"/>
      <c r="E28" s="73"/>
    </row>
    <row r="29" spans="1:5" x14ac:dyDescent="0.35">
      <c r="A29" s="72"/>
      <c r="B29" s="73"/>
      <c r="C29" s="73"/>
      <c r="D29" s="73"/>
      <c r="E29" s="73"/>
    </row>
    <row r="30" spans="1:5" x14ac:dyDescent="0.3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E9" sqref="E9"/>
    </sheetView>
  </sheetViews>
  <sheetFormatPr defaultRowHeight="14.5" x14ac:dyDescent="0.35"/>
  <cols>
    <col min="1" max="1" width="13.81640625" style="47" customWidth="1"/>
    <col min="2" max="2" width="20.81640625" bestFit="1" customWidth="1"/>
    <col min="3" max="3" width="16.1796875" style="114" customWidth="1"/>
    <col min="4" max="4" width="14.54296875" customWidth="1"/>
    <col min="5" max="5" width="22.81640625" customWidth="1"/>
  </cols>
  <sheetData>
    <row r="1" spans="1:5" ht="18.5" x14ac:dyDescent="0.35">
      <c r="A1" s="393" t="s">
        <v>20</v>
      </c>
      <c r="B1" s="393"/>
      <c r="C1" s="393"/>
      <c r="D1" s="393"/>
      <c r="E1" s="393"/>
    </row>
    <row r="2" spans="1:5" x14ac:dyDescent="0.35">
      <c r="A2" s="193"/>
      <c r="B2" s="97"/>
      <c r="C2" s="190" t="s">
        <v>23</v>
      </c>
      <c r="D2" s="91">
        <f>SUM(D4:D36)</f>
        <v>150</v>
      </c>
      <c r="E2" s="64"/>
    </row>
    <row r="3" spans="1:5" x14ac:dyDescent="0.35">
      <c r="A3" s="92" t="s">
        <v>67</v>
      </c>
      <c r="B3" s="93" t="s">
        <v>68</v>
      </c>
      <c r="C3" s="191" t="s">
        <v>5</v>
      </c>
      <c r="D3" s="93" t="s">
        <v>56</v>
      </c>
      <c r="E3" s="93" t="s">
        <v>57</v>
      </c>
    </row>
    <row r="4" spans="1:5" ht="29" x14ac:dyDescent="0.35">
      <c r="A4" s="72">
        <v>46028</v>
      </c>
      <c r="B4" s="262" t="s">
        <v>196</v>
      </c>
      <c r="C4" s="192" t="s">
        <v>135</v>
      </c>
      <c r="D4" s="76">
        <v>50</v>
      </c>
      <c r="E4" s="283" t="s">
        <v>197</v>
      </c>
    </row>
    <row r="5" spans="1:5" x14ac:dyDescent="0.35">
      <c r="A5" s="72">
        <v>46029</v>
      </c>
      <c r="B5" s="262" t="s">
        <v>166</v>
      </c>
      <c r="C5" s="192" t="s">
        <v>135</v>
      </c>
      <c r="D5" s="76">
        <v>100</v>
      </c>
      <c r="E5" s="95" t="s">
        <v>203</v>
      </c>
    </row>
    <row r="6" spans="1:5" x14ac:dyDescent="0.35">
      <c r="A6" s="72"/>
      <c r="B6" s="94"/>
      <c r="C6" s="192"/>
      <c r="D6" s="76"/>
      <c r="E6" s="95"/>
    </row>
    <row r="7" spans="1:5" x14ac:dyDescent="0.35">
      <c r="A7" s="72"/>
      <c r="B7" s="94"/>
      <c r="C7" s="192"/>
      <c r="D7" s="76"/>
      <c r="E7" s="95"/>
    </row>
    <row r="8" spans="1:5" x14ac:dyDescent="0.35">
      <c r="A8" s="193"/>
      <c r="B8" s="96"/>
      <c r="C8" s="12"/>
      <c r="D8" s="55"/>
      <c r="E8" s="97"/>
    </row>
    <row r="9" spans="1:5" x14ac:dyDescent="0.35">
      <c r="A9" s="193"/>
      <c r="B9" s="97"/>
      <c r="C9" s="12"/>
      <c r="D9" s="97"/>
      <c r="E9" s="97"/>
    </row>
    <row r="10" spans="1:5" x14ac:dyDescent="0.35">
      <c r="A10" s="193"/>
      <c r="B10" s="97"/>
      <c r="C10" s="12"/>
      <c r="D10" s="97"/>
      <c r="E10" s="97"/>
    </row>
    <row r="11" spans="1:5" x14ac:dyDescent="0.35">
      <c r="A11" s="193"/>
      <c r="B11" s="97"/>
      <c r="C11" s="12"/>
      <c r="D11" s="97"/>
      <c r="E11" s="97"/>
    </row>
    <row r="12" spans="1:5" x14ac:dyDescent="0.35">
      <c r="A12" s="193"/>
      <c r="B12" s="97"/>
      <c r="C12" s="12"/>
      <c r="D12" s="97"/>
      <c r="E12" s="97"/>
    </row>
    <row r="13" spans="1:5" x14ac:dyDescent="0.35">
      <c r="A13" s="193"/>
      <c r="B13" s="97"/>
      <c r="C13" s="12" t="s">
        <v>147</v>
      </c>
      <c r="D13" s="97"/>
      <c r="E13" s="97"/>
    </row>
    <row r="14" spans="1:5" x14ac:dyDescent="0.35">
      <c r="A14" s="193"/>
      <c r="B14" s="97"/>
      <c r="C14" s="12"/>
      <c r="D14" s="97"/>
      <c r="E14" s="97"/>
    </row>
    <row r="15" spans="1:5" x14ac:dyDescent="0.35">
      <c r="A15" s="193"/>
      <c r="B15" s="97"/>
      <c r="C15" s="12"/>
      <c r="D15" s="97"/>
      <c r="E15" s="97"/>
    </row>
    <row r="16" spans="1:5" x14ac:dyDescent="0.35">
      <c r="A16" s="193"/>
      <c r="B16" s="97"/>
      <c r="C16" s="12"/>
      <c r="D16" s="97"/>
      <c r="E16" s="97"/>
    </row>
    <row r="17" spans="1:5" x14ac:dyDescent="0.35">
      <c r="A17" s="193"/>
      <c r="B17" s="97"/>
      <c r="C17" s="12"/>
      <c r="D17" s="97"/>
      <c r="E17" s="97"/>
    </row>
    <row r="18" spans="1:5" x14ac:dyDescent="0.35">
      <c r="A18" s="193"/>
      <c r="B18" s="97"/>
      <c r="C18" s="12"/>
      <c r="D18" s="97"/>
      <c r="E18" s="97"/>
    </row>
    <row r="19" spans="1:5" x14ac:dyDescent="0.35">
      <c r="A19" s="193"/>
      <c r="B19" s="97"/>
      <c r="C19" s="12"/>
      <c r="D19" s="97"/>
      <c r="E19" s="97"/>
    </row>
    <row r="20" spans="1:5" x14ac:dyDescent="0.35">
      <c r="A20" s="193"/>
      <c r="B20" s="97"/>
      <c r="C20" s="12"/>
      <c r="D20" s="97"/>
      <c r="E20" s="97"/>
    </row>
    <row r="21" spans="1:5" x14ac:dyDescent="0.35">
      <c r="A21" s="193"/>
      <c r="B21" s="97"/>
      <c r="C21" s="12"/>
      <c r="D21" s="97"/>
      <c r="E21" s="97"/>
    </row>
    <row r="22" spans="1:5" x14ac:dyDescent="0.35">
      <c r="A22" s="193"/>
      <c r="B22" s="97"/>
      <c r="C22" s="12"/>
      <c r="D22" s="97"/>
      <c r="E22" s="97"/>
    </row>
    <row r="23" spans="1:5" x14ac:dyDescent="0.35">
      <c r="A23" s="193"/>
      <c r="B23" s="97"/>
      <c r="C23" s="12"/>
      <c r="D23" s="97"/>
      <c r="E23" s="97"/>
    </row>
    <row r="24" spans="1:5" x14ac:dyDescent="0.35">
      <c r="A24" s="193"/>
      <c r="B24" s="97"/>
      <c r="C24" s="12"/>
      <c r="D24" s="97"/>
      <c r="E24" s="97"/>
    </row>
    <row r="25" spans="1:5" x14ac:dyDescent="0.35">
      <c r="A25" s="193"/>
      <c r="B25" s="97"/>
      <c r="C25" s="12"/>
      <c r="D25" s="97"/>
      <c r="E25" s="97"/>
    </row>
    <row r="26" spans="1:5" x14ac:dyDescent="0.35">
      <c r="A26" s="193"/>
      <c r="B26" s="97"/>
      <c r="C26" s="12"/>
      <c r="D26" s="97"/>
      <c r="E26" s="97"/>
    </row>
    <row r="27" spans="1:5" x14ac:dyDescent="0.35">
      <c r="A27" s="193"/>
      <c r="B27" s="97"/>
      <c r="C27" s="12"/>
      <c r="D27" s="97"/>
      <c r="E27" s="97"/>
    </row>
    <row r="28" spans="1:5" x14ac:dyDescent="0.35">
      <c r="A28" s="193"/>
      <c r="B28" s="97"/>
      <c r="C28" s="12"/>
      <c r="D28" s="97"/>
      <c r="E28" s="97"/>
    </row>
    <row r="29" spans="1:5" x14ac:dyDescent="0.35">
      <c r="A29" s="193"/>
      <c r="B29" s="97"/>
      <c r="C29" s="12"/>
      <c r="D29" s="97"/>
      <c r="E29" s="97"/>
    </row>
    <row r="30" spans="1:5" x14ac:dyDescent="0.35">
      <c r="A30" s="193"/>
      <c r="B30" s="97"/>
      <c r="C30" s="12"/>
      <c r="D30" s="97"/>
      <c r="E30" s="97"/>
    </row>
    <row r="31" spans="1:5" x14ac:dyDescent="0.35">
      <c r="A31" s="193"/>
      <c r="B31" s="97"/>
      <c r="C31" s="12"/>
      <c r="D31" s="97"/>
      <c r="E31" s="97"/>
    </row>
    <row r="32" spans="1:5" x14ac:dyDescent="0.35">
      <c r="A32" s="193"/>
      <c r="B32" s="97"/>
      <c r="C32" s="12"/>
      <c r="D32" s="97"/>
      <c r="E32" s="97"/>
    </row>
    <row r="33" spans="1:5" x14ac:dyDescent="0.35">
      <c r="A33" s="193"/>
      <c r="B33" s="97"/>
      <c r="C33" s="12"/>
      <c r="D33" s="97"/>
      <c r="E33" s="97"/>
    </row>
    <row r="34" spans="1:5" x14ac:dyDescent="0.35">
      <c r="A34" s="193"/>
      <c r="B34" s="97"/>
      <c r="C34" s="12"/>
      <c r="D34" s="97"/>
      <c r="E34" s="97"/>
    </row>
    <row r="35" spans="1:5" x14ac:dyDescent="0.35">
      <c r="A35" s="193"/>
      <c r="B35" s="97"/>
      <c r="C35" s="12"/>
      <c r="D35" s="97"/>
      <c r="E35" s="97"/>
    </row>
    <row r="36" spans="1:5" x14ac:dyDescent="0.35">
      <c r="A36" s="193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4.5" x14ac:dyDescent="0.35"/>
  <cols>
    <col min="1" max="1" width="13.81640625" customWidth="1"/>
    <col min="2" max="2" width="18.81640625" customWidth="1"/>
    <col min="3" max="3" width="15.453125" customWidth="1"/>
    <col min="4" max="4" width="13.81640625" customWidth="1"/>
    <col min="5" max="5" width="14" customWidth="1"/>
  </cols>
  <sheetData>
    <row r="1" spans="1:5" ht="18.5" x14ac:dyDescent="0.35">
      <c r="A1" s="392" t="s">
        <v>70</v>
      </c>
      <c r="B1" s="392"/>
      <c r="C1" s="392"/>
      <c r="D1" s="392"/>
      <c r="E1" s="392"/>
    </row>
    <row r="2" spans="1:5" x14ac:dyDescent="0.35">
      <c r="A2" s="65"/>
      <c r="B2" s="65"/>
      <c r="C2" s="98" t="s">
        <v>23</v>
      </c>
      <c r="D2" s="98">
        <f>SUM(D4:D30)</f>
        <v>0</v>
      </c>
      <c r="E2" s="65"/>
    </row>
    <row r="3" spans="1:5" x14ac:dyDescent="0.3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35">
      <c r="A4" s="214"/>
      <c r="B4" s="73"/>
      <c r="C4" s="73"/>
      <c r="D4" s="73"/>
      <c r="E4" s="73"/>
    </row>
    <row r="5" spans="1:5" x14ac:dyDescent="0.35">
      <c r="A5" s="214"/>
      <c r="B5" s="73"/>
      <c r="C5" s="73"/>
      <c r="D5" s="73"/>
      <c r="E5" s="73"/>
    </row>
    <row r="6" spans="1:5" x14ac:dyDescent="0.35">
      <c r="A6" s="214"/>
      <c r="B6" s="73"/>
      <c r="C6" s="73"/>
      <c r="D6" s="73"/>
      <c r="E6" s="73"/>
    </row>
    <row r="7" spans="1:5" x14ac:dyDescent="0.35">
      <c r="A7" s="214"/>
      <c r="B7" s="73"/>
      <c r="C7" s="73"/>
      <c r="D7" s="73"/>
      <c r="E7" s="73"/>
    </row>
    <row r="8" spans="1:5" x14ac:dyDescent="0.35">
      <c r="A8" s="214"/>
      <c r="B8" s="73"/>
      <c r="C8" s="73"/>
      <c r="D8" s="73"/>
      <c r="E8" s="73"/>
    </row>
    <row r="9" spans="1:5" x14ac:dyDescent="0.35">
      <c r="A9" s="73"/>
      <c r="B9" s="73"/>
      <c r="C9" s="73"/>
      <c r="D9" s="73"/>
      <c r="E9" s="73"/>
    </row>
    <row r="10" spans="1:5" x14ac:dyDescent="0.35">
      <c r="A10" s="73"/>
      <c r="B10" s="73"/>
      <c r="C10" s="73"/>
      <c r="D10" s="73"/>
      <c r="E10" s="73"/>
    </row>
    <row r="11" spans="1:5" x14ac:dyDescent="0.35">
      <c r="A11" s="73"/>
      <c r="B11" s="73"/>
      <c r="C11" s="73"/>
      <c r="D11" s="73"/>
      <c r="E11" s="73"/>
    </row>
    <row r="12" spans="1:5" x14ac:dyDescent="0.35">
      <c r="A12" s="73"/>
      <c r="B12" s="73"/>
      <c r="C12" s="73"/>
      <c r="D12" s="73"/>
      <c r="E12" s="73"/>
    </row>
    <row r="13" spans="1:5" x14ac:dyDescent="0.35">
      <c r="A13" s="73"/>
      <c r="B13" s="73"/>
      <c r="C13" s="73"/>
      <c r="D13" s="73"/>
      <c r="E13" s="73"/>
    </row>
    <row r="14" spans="1:5" x14ac:dyDescent="0.35">
      <c r="A14" s="73"/>
      <c r="B14" s="73"/>
      <c r="C14" s="73"/>
      <c r="D14" s="73"/>
      <c r="E14" s="73"/>
    </row>
    <row r="15" spans="1:5" x14ac:dyDescent="0.35">
      <c r="A15" s="73"/>
      <c r="B15" s="73"/>
      <c r="C15" s="73"/>
      <c r="D15" s="73"/>
      <c r="E15" s="73"/>
    </row>
    <row r="16" spans="1:5" x14ac:dyDescent="0.35">
      <c r="A16" s="73"/>
      <c r="B16" s="73"/>
      <c r="C16" s="73"/>
      <c r="D16" s="73"/>
      <c r="E16" s="73"/>
    </row>
    <row r="17" spans="1:5" x14ac:dyDescent="0.35">
      <c r="A17" s="73"/>
      <c r="B17" s="73"/>
      <c r="C17" s="73"/>
      <c r="D17" s="73"/>
      <c r="E17" s="73"/>
    </row>
    <row r="18" spans="1:5" x14ac:dyDescent="0.35">
      <c r="A18" s="73"/>
      <c r="B18" s="73"/>
      <c r="C18" s="73"/>
      <c r="D18" s="73"/>
      <c r="E18" s="73"/>
    </row>
    <row r="19" spans="1:5" x14ac:dyDescent="0.35">
      <c r="A19" s="73"/>
      <c r="B19" s="73"/>
      <c r="C19" s="73"/>
      <c r="D19" s="73"/>
      <c r="E19" s="73"/>
    </row>
    <row r="20" spans="1:5" x14ac:dyDescent="0.35">
      <c r="A20" s="73"/>
      <c r="B20" s="73"/>
      <c r="C20" s="73"/>
      <c r="D20" s="73"/>
      <c r="E20" s="73"/>
    </row>
    <row r="21" spans="1:5" x14ac:dyDescent="0.35">
      <c r="A21" s="73"/>
      <c r="B21" s="73"/>
      <c r="C21" s="73"/>
      <c r="D21" s="73"/>
      <c r="E21" s="73"/>
    </row>
    <row r="22" spans="1:5" x14ac:dyDescent="0.35">
      <c r="A22" s="73"/>
      <c r="B22" s="73"/>
      <c r="C22" s="73"/>
      <c r="D22" s="73"/>
      <c r="E22" s="73"/>
    </row>
    <row r="23" spans="1:5" x14ac:dyDescent="0.35">
      <c r="A23" s="73"/>
      <c r="B23" s="73"/>
      <c r="C23" s="73"/>
      <c r="D23" s="73"/>
      <c r="E23" s="73"/>
    </row>
    <row r="24" spans="1:5" x14ac:dyDescent="0.35">
      <c r="A24" s="73"/>
      <c r="B24" s="73"/>
      <c r="C24" s="73"/>
      <c r="D24" s="73"/>
      <c r="E24" s="73"/>
    </row>
    <row r="25" spans="1:5" x14ac:dyDescent="0.35">
      <c r="A25" s="73"/>
      <c r="B25" s="73"/>
      <c r="C25" s="73"/>
      <c r="D25" s="73"/>
      <c r="E25" s="73"/>
    </row>
    <row r="26" spans="1:5" x14ac:dyDescent="0.35">
      <c r="A26" s="73"/>
      <c r="B26" s="73"/>
      <c r="C26" s="73"/>
      <c r="D26" s="73"/>
      <c r="E26" s="73"/>
    </row>
    <row r="27" spans="1:5" x14ac:dyDescent="0.35">
      <c r="A27" s="73"/>
      <c r="B27" s="73"/>
      <c r="C27" s="73"/>
      <c r="D27" s="73"/>
      <c r="E27" s="73"/>
    </row>
    <row r="28" spans="1:5" x14ac:dyDescent="0.35">
      <c r="A28" s="73"/>
      <c r="B28" s="73"/>
      <c r="C28" s="73"/>
      <c r="D28" s="73"/>
      <c r="E28" s="73"/>
    </row>
    <row r="29" spans="1:5" x14ac:dyDescent="0.35">
      <c r="A29" s="73"/>
      <c r="B29" s="73"/>
      <c r="C29" s="73"/>
      <c r="D29" s="73"/>
      <c r="E29" s="73"/>
    </row>
    <row r="30" spans="1:5" x14ac:dyDescent="0.3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4.5" x14ac:dyDescent="0.35"/>
  <cols>
    <col min="1" max="1" width="3.54296875" customWidth="1"/>
    <col min="2" max="2" width="24.54296875" customWidth="1"/>
    <col min="3" max="19" width="3.7265625" customWidth="1"/>
    <col min="20" max="20" width="5" bestFit="1" customWidth="1"/>
    <col min="21" max="27" width="3.7265625" customWidth="1"/>
    <col min="28" max="28" width="5" bestFit="1" customWidth="1"/>
    <col min="29" max="33" width="3.7265625" customWidth="1"/>
    <col min="34" max="34" width="9.7265625" customWidth="1"/>
  </cols>
  <sheetData>
    <row r="1" spans="1:34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3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3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3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3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3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3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3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3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3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4.5" x14ac:dyDescent="0.35"/>
  <cols>
    <col min="2" max="2" width="9.7265625" style="142" bestFit="1" customWidth="1"/>
    <col min="3" max="3" width="22" customWidth="1"/>
    <col min="4" max="4" width="16" customWidth="1"/>
    <col min="5" max="5" width="20.453125" customWidth="1"/>
    <col min="8" max="8" width="13.7265625" customWidth="1"/>
    <col min="9" max="9" width="27.7265625" customWidth="1"/>
    <col min="10" max="10" width="16.26953125" customWidth="1"/>
    <col min="11" max="11" width="16" customWidth="1"/>
  </cols>
  <sheetData>
    <row r="1" spans="1:11" ht="21" x14ac:dyDescent="0.35">
      <c r="A1" s="399" t="s">
        <v>0</v>
      </c>
      <c r="B1" s="400"/>
      <c r="C1" s="400"/>
      <c r="D1" s="400"/>
      <c r="E1" s="401"/>
      <c r="G1" s="399" t="s">
        <v>0</v>
      </c>
      <c r="H1" s="400"/>
      <c r="I1" s="400"/>
      <c r="J1" s="400"/>
      <c r="K1" s="401"/>
    </row>
    <row r="2" spans="1:11" x14ac:dyDescent="0.35">
      <c r="A2" s="361"/>
      <c r="B2" s="351"/>
      <c r="C2" s="351"/>
      <c r="D2" s="351"/>
      <c r="E2" s="362"/>
      <c r="G2" s="361"/>
      <c r="H2" s="351"/>
      <c r="I2" s="351"/>
      <c r="J2" s="351"/>
      <c r="K2" s="362"/>
    </row>
    <row r="3" spans="1:11" ht="15.5" x14ac:dyDescent="0.35">
      <c r="A3" s="394" t="s">
        <v>76</v>
      </c>
      <c r="B3" s="395"/>
      <c r="C3" s="103" t="s">
        <v>114</v>
      </c>
      <c r="D3" s="103"/>
      <c r="E3" s="104"/>
      <c r="G3" s="221" t="s">
        <v>132</v>
      </c>
      <c r="H3" s="103"/>
      <c r="I3" s="103"/>
      <c r="J3" s="103"/>
      <c r="K3" s="104"/>
    </row>
    <row r="4" spans="1:11" x14ac:dyDescent="0.35">
      <c r="A4" s="105"/>
      <c r="E4" s="106"/>
      <c r="G4" s="105"/>
      <c r="K4" s="106"/>
    </row>
    <row r="5" spans="1:11" x14ac:dyDescent="0.35">
      <c r="A5" s="107" t="s">
        <v>77</v>
      </c>
      <c r="B5" s="176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35">
      <c r="A6" s="110">
        <v>1</v>
      </c>
      <c r="B6" s="146"/>
      <c r="C6" s="111"/>
      <c r="D6" s="111"/>
      <c r="E6" s="112"/>
      <c r="G6" s="110">
        <v>1</v>
      </c>
      <c r="H6" s="220"/>
      <c r="I6" s="111"/>
      <c r="J6" s="111"/>
      <c r="K6" s="112"/>
    </row>
    <row r="7" spans="1:11" x14ac:dyDescent="0.35">
      <c r="A7" s="110">
        <v>2</v>
      </c>
      <c r="B7" s="146"/>
      <c r="C7" s="111"/>
      <c r="D7" s="111"/>
      <c r="E7" s="112"/>
      <c r="G7" s="110"/>
      <c r="H7" s="111"/>
      <c r="I7" s="111"/>
      <c r="J7" s="111"/>
      <c r="K7" s="112"/>
    </row>
    <row r="8" spans="1:11" ht="15.5" x14ac:dyDescent="0.35">
      <c r="A8" s="110">
        <v>3</v>
      </c>
      <c r="B8" s="146"/>
      <c r="C8" s="111"/>
      <c r="D8" s="111"/>
      <c r="E8" s="112"/>
      <c r="G8" s="402" t="s">
        <v>23</v>
      </c>
      <c r="H8" s="403"/>
      <c r="I8" s="403"/>
      <c r="J8" s="404"/>
      <c r="K8" s="112"/>
    </row>
    <row r="9" spans="1:11" x14ac:dyDescent="0.35">
      <c r="A9" s="110">
        <v>4</v>
      </c>
      <c r="B9" s="146"/>
      <c r="C9" s="111"/>
      <c r="D9" s="111"/>
      <c r="E9" s="112"/>
      <c r="G9" s="105"/>
      <c r="K9" s="106"/>
    </row>
    <row r="10" spans="1:11" x14ac:dyDescent="0.35">
      <c r="A10" s="110">
        <v>5</v>
      </c>
      <c r="B10" s="146"/>
      <c r="C10" s="111"/>
      <c r="D10" s="111"/>
      <c r="E10" s="112"/>
      <c r="G10" s="113"/>
      <c r="H10" s="114"/>
      <c r="I10" s="114"/>
      <c r="J10" s="114"/>
      <c r="K10" s="115"/>
    </row>
    <row r="11" spans="1:11" x14ac:dyDescent="0.35">
      <c r="A11" s="110">
        <v>6</v>
      </c>
      <c r="B11" s="146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" thickBot="1" x14ac:dyDescent="0.4">
      <c r="A12" s="402" t="s">
        <v>23</v>
      </c>
      <c r="B12" s="403"/>
      <c r="C12" s="403"/>
      <c r="D12" s="404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35">
      <c r="A13" s="105"/>
      <c r="E13" s="106"/>
    </row>
    <row r="14" spans="1:11" ht="15" thickBot="1" x14ac:dyDescent="0.4">
      <c r="A14" s="113"/>
      <c r="B14" s="177"/>
      <c r="C14" s="114"/>
      <c r="D14" s="114"/>
      <c r="E14" s="115"/>
    </row>
    <row r="15" spans="1:11" ht="21" x14ac:dyDescent="0.35">
      <c r="A15" s="116" t="s">
        <v>78</v>
      </c>
      <c r="B15" s="178"/>
      <c r="C15" s="47" t="s">
        <v>79</v>
      </c>
      <c r="D15" s="47" t="s">
        <v>80</v>
      </c>
      <c r="E15" s="117"/>
      <c r="G15" s="399" t="s">
        <v>0</v>
      </c>
      <c r="H15" s="400"/>
      <c r="I15" s="400"/>
      <c r="J15" s="400"/>
      <c r="K15" s="401"/>
    </row>
    <row r="16" spans="1:11" ht="16" thickBot="1" x14ac:dyDescent="0.4">
      <c r="A16" s="118" t="s">
        <v>30</v>
      </c>
      <c r="B16" s="179"/>
      <c r="C16" s="119" t="s">
        <v>81</v>
      </c>
      <c r="D16" s="119" t="s">
        <v>82</v>
      </c>
      <c r="E16" s="120"/>
      <c r="G16" s="361"/>
      <c r="H16" s="351"/>
      <c r="I16" s="351"/>
      <c r="J16" s="351"/>
      <c r="K16" s="362"/>
    </row>
    <row r="17" spans="1:11" ht="15.5" x14ac:dyDescent="0.35">
      <c r="G17" s="394" t="s">
        <v>76</v>
      </c>
      <c r="H17" s="395"/>
      <c r="I17" s="103"/>
      <c r="J17" s="103"/>
      <c r="K17" s="104"/>
    </row>
    <row r="18" spans="1:11" ht="15" thickBot="1" x14ac:dyDescent="0.4">
      <c r="G18" s="105"/>
      <c r="K18" s="106"/>
    </row>
    <row r="19" spans="1:11" ht="21" x14ac:dyDescent="0.35">
      <c r="A19" s="399" t="s">
        <v>0</v>
      </c>
      <c r="B19" s="400"/>
      <c r="C19" s="400"/>
      <c r="D19" s="400"/>
      <c r="E19" s="401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35">
      <c r="A20" s="361"/>
      <c r="B20" s="351"/>
      <c r="C20" s="351"/>
      <c r="D20" s="351"/>
      <c r="E20" s="362"/>
      <c r="G20" s="110">
        <v>1</v>
      </c>
      <c r="H20" s="111"/>
      <c r="I20" s="111"/>
      <c r="J20" s="111"/>
      <c r="K20" s="112"/>
    </row>
    <row r="21" spans="1:11" ht="15.5" x14ac:dyDescent="0.35">
      <c r="A21" s="394" t="s">
        <v>76</v>
      </c>
      <c r="B21" s="395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35">
      <c r="A22" s="105"/>
      <c r="E22" s="106"/>
      <c r="G22" s="110">
        <v>3</v>
      </c>
      <c r="H22" s="111"/>
      <c r="I22" s="111"/>
      <c r="J22" s="111"/>
      <c r="K22" s="112"/>
    </row>
    <row r="23" spans="1:11" x14ac:dyDescent="0.35">
      <c r="A23" s="121" t="s">
        <v>77</v>
      </c>
      <c r="B23" s="180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35">
      <c r="A24" s="110">
        <v>1</v>
      </c>
      <c r="B24" s="146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35">
      <c r="A25" s="110">
        <v>2</v>
      </c>
      <c r="B25" s="146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35">
      <c r="A26" s="110">
        <v>3</v>
      </c>
      <c r="B26" s="146"/>
      <c r="C26" s="111"/>
      <c r="D26" s="111"/>
      <c r="E26" s="112"/>
      <c r="G26" s="396" t="s">
        <v>23</v>
      </c>
      <c r="H26" s="397"/>
      <c r="I26" s="397"/>
      <c r="J26" s="398"/>
      <c r="K26" s="112"/>
    </row>
    <row r="27" spans="1:11" x14ac:dyDescent="0.35">
      <c r="A27" s="110">
        <v>4</v>
      </c>
      <c r="B27" s="146"/>
      <c r="C27" s="111"/>
      <c r="D27" s="111"/>
      <c r="E27" s="112"/>
      <c r="G27" s="105"/>
      <c r="K27" s="106"/>
    </row>
    <row r="28" spans="1:11" x14ac:dyDescent="0.35">
      <c r="A28" s="110">
        <v>5</v>
      </c>
      <c r="B28" s="146"/>
      <c r="C28" s="111"/>
      <c r="D28" s="111"/>
      <c r="E28" s="112"/>
      <c r="G28" s="105"/>
      <c r="K28" s="106"/>
    </row>
    <row r="29" spans="1:11" x14ac:dyDescent="0.35">
      <c r="A29" s="110">
        <v>6</v>
      </c>
      <c r="B29" s="146"/>
      <c r="C29" s="111"/>
      <c r="D29" s="111"/>
      <c r="E29" s="112"/>
      <c r="G29" s="113"/>
      <c r="H29" s="114"/>
      <c r="I29" s="114"/>
      <c r="J29" s="114"/>
      <c r="K29" s="115"/>
    </row>
    <row r="30" spans="1:11" x14ac:dyDescent="0.35">
      <c r="A30" s="396" t="s">
        <v>23</v>
      </c>
      <c r="B30" s="397"/>
      <c r="C30" s="397"/>
      <c r="D30" s="398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" thickBot="1" x14ac:dyDescent="0.4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35">
      <c r="A32" s="105"/>
      <c r="E32" s="106"/>
    </row>
    <row r="33" spans="1:5" x14ac:dyDescent="0.35">
      <c r="A33" s="113"/>
      <c r="B33" s="177"/>
      <c r="C33" s="114"/>
      <c r="D33" s="114"/>
      <c r="E33" s="115"/>
    </row>
    <row r="34" spans="1:5" x14ac:dyDescent="0.35">
      <c r="A34" s="116" t="s">
        <v>78</v>
      </c>
      <c r="B34" s="178"/>
      <c r="C34" s="47" t="s">
        <v>79</v>
      </c>
      <c r="D34" s="47" t="s">
        <v>80</v>
      </c>
      <c r="E34" s="117"/>
    </row>
    <row r="35" spans="1:5" ht="16" thickBot="1" x14ac:dyDescent="0.4">
      <c r="A35" s="118" t="s">
        <v>30</v>
      </c>
      <c r="B35" s="179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7"/>
  <sheetViews>
    <sheetView topLeftCell="A33" zoomScaleNormal="100" workbookViewId="0">
      <selection activeCell="A37" sqref="A37:F47"/>
    </sheetView>
  </sheetViews>
  <sheetFormatPr defaultRowHeight="14.5" x14ac:dyDescent="0.35"/>
  <cols>
    <col min="1" max="1" width="7.7265625" customWidth="1"/>
    <col min="2" max="2" width="17" style="142" customWidth="1"/>
    <col min="3" max="3" width="22.81640625" style="150" customWidth="1"/>
    <col min="4" max="4" width="19.81640625" customWidth="1"/>
    <col min="5" max="5" width="9.1796875" style="183"/>
    <col min="6" max="6" width="16" bestFit="1" customWidth="1"/>
    <col min="9" max="9" width="11.7265625" customWidth="1"/>
    <col min="10" max="10" width="19.54296875" customWidth="1"/>
    <col min="11" max="11" width="18.1796875" bestFit="1" customWidth="1"/>
    <col min="12" max="12" width="8.1796875" bestFit="1" customWidth="1"/>
    <col min="13" max="13" width="16" bestFit="1" customWidth="1"/>
  </cols>
  <sheetData>
    <row r="1" spans="1:13" ht="21" x14ac:dyDescent="0.35">
      <c r="A1" s="350" t="s">
        <v>0</v>
      </c>
      <c r="B1" s="350"/>
      <c r="C1" s="350"/>
      <c r="D1" s="350"/>
      <c r="E1" s="350"/>
      <c r="F1" s="350"/>
      <c r="H1" s="350" t="s">
        <v>0</v>
      </c>
      <c r="I1" s="350"/>
      <c r="J1" s="350"/>
      <c r="K1" s="350"/>
      <c r="L1" s="350"/>
      <c r="M1" s="350"/>
    </row>
    <row r="2" spans="1:13" ht="18.5" x14ac:dyDescent="0.35">
      <c r="A2" s="407"/>
      <c r="B2" s="407"/>
      <c r="C2" s="408" t="s">
        <v>89</v>
      </c>
      <c r="D2" s="408"/>
      <c r="E2" s="408"/>
      <c r="F2" s="139"/>
      <c r="H2" s="407"/>
      <c r="I2" s="407"/>
      <c r="J2" s="408" t="s">
        <v>123</v>
      </c>
      <c r="K2" s="408"/>
      <c r="L2" s="408"/>
      <c r="M2" s="139"/>
    </row>
    <row r="3" spans="1:13" x14ac:dyDescent="0.35">
      <c r="A3" s="108" t="s">
        <v>77</v>
      </c>
      <c r="B3" s="176" t="s">
        <v>36</v>
      </c>
      <c r="C3" s="185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6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5" x14ac:dyDescent="0.35">
      <c r="A4" s="135">
        <v>1</v>
      </c>
      <c r="B4" s="248">
        <v>46025</v>
      </c>
      <c r="C4" s="242">
        <v>10870</v>
      </c>
      <c r="D4" s="108" t="s">
        <v>149</v>
      </c>
      <c r="E4" s="108">
        <v>700</v>
      </c>
      <c r="F4" s="108"/>
      <c r="H4" s="135">
        <v>1</v>
      </c>
      <c r="I4" s="197">
        <v>46023</v>
      </c>
      <c r="J4" s="185" t="s">
        <v>136</v>
      </c>
      <c r="K4" s="108" t="s">
        <v>135</v>
      </c>
      <c r="L4" s="108">
        <v>200</v>
      </c>
      <c r="M4" s="108" t="s">
        <v>237</v>
      </c>
    </row>
    <row r="5" spans="1:13" ht="18.5" x14ac:dyDescent="0.35">
      <c r="A5" s="135">
        <v>2</v>
      </c>
      <c r="B5" s="176"/>
      <c r="C5" s="275"/>
      <c r="D5" s="108"/>
      <c r="E5" s="108"/>
      <c r="F5" s="108"/>
      <c r="H5" s="210">
        <v>2</v>
      </c>
      <c r="I5" s="197">
        <v>46027</v>
      </c>
      <c r="J5" s="210" t="s">
        <v>136</v>
      </c>
      <c r="K5" s="210" t="s">
        <v>135</v>
      </c>
      <c r="L5" s="47">
        <v>200</v>
      </c>
      <c r="M5" s="47" t="s">
        <v>237</v>
      </c>
    </row>
    <row r="6" spans="1:13" x14ac:dyDescent="0.35">
      <c r="A6" s="124"/>
      <c r="B6" s="184"/>
      <c r="C6" s="186"/>
      <c r="D6" s="272" t="s">
        <v>23</v>
      </c>
      <c r="E6" s="273">
        <f>SUM(E4:E5)</f>
        <v>700</v>
      </c>
      <c r="F6" s="108"/>
      <c r="H6" s="124"/>
      <c r="I6" s="184"/>
      <c r="J6" s="186"/>
      <c r="K6" s="272" t="s">
        <v>23</v>
      </c>
      <c r="L6" s="48">
        <f>SUM(L4:L5)</f>
        <v>400</v>
      </c>
      <c r="M6" s="108"/>
    </row>
    <row r="7" spans="1:13" x14ac:dyDescent="0.35">
      <c r="I7" s="142"/>
      <c r="J7" s="150"/>
      <c r="L7" s="183"/>
    </row>
    <row r="8" spans="1:13" x14ac:dyDescent="0.35">
      <c r="A8" s="114"/>
      <c r="B8" s="177"/>
      <c r="C8" s="187"/>
      <c r="D8" s="114"/>
      <c r="E8" s="182"/>
      <c r="F8" s="114"/>
      <c r="H8" s="114"/>
      <c r="I8" s="177" t="s">
        <v>128</v>
      </c>
      <c r="J8" s="187"/>
      <c r="K8" s="114"/>
      <c r="L8" s="182"/>
      <c r="M8" s="114"/>
    </row>
    <row r="9" spans="1:13" x14ac:dyDescent="0.35">
      <c r="A9" s="137" t="s">
        <v>78</v>
      </c>
      <c r="B9" s="178"/>
      <c r="C9" s="188"/>
      <c r="D9" s="47" t="s">
        <v>79</v>
      </c>
      <c r="F9" s="47" t="s">
        <v>80</v>
      </c>
      <c r="H9" s="137" t="s">
        <v>78</v>
      </c>
      <c r="I9" s="178"/>
      <c r="J9" s="188"/>
      <c r="K9" s="47" t="s">
        <v>79</v>
      </c>
      <c r="L9" s="183"/>
      <c r="M9" s="47" t="s">
        <v>80</v>
      </c>
    </row>
    <row r="10" spans="1:13" x14ac:dyDescent="0.35">
      <c r="A10" s="138" t="s">
        <v>30</v>
      </c>
      <c r="B10" s="177"/>
      <c r="C10" s="187"/>
      <c r="D10" s="114" t="s">
        <v>81</v>
      </c>
      <c r="F10" s="114" t="s">
        <v>82</v>
      </c>
      <c r="H10" s="138" t="s">
        <v>30</v>
      </c>
      <c r="I10" s="177"/>
      <c r="J10" s="187"/>
      <c r="K10" s="114" t="s">
        <v>81</v>
      </c>
      <c r="L10" s="183"/>
      <c r="M10" s="114" t="s">
        <v>82</v>
      </c>
    </row>
    <row r="11" spans="1:13" x14ac:dyDescent="0.35">
      <c r="I11" s="142"/>
      <c r="J11" s="150"/>
      <c r="L11" s="183"/>
    </row>
    <row r="12" spans="1:13" ht="28.5" x14ac:dyDescent="0.65">
      <c r="A12" s="409"/>
      <c r="B12" s="409"/>
      <c r="C12" s="409"/>
      <c r="D12" s="409"/>
      <c r="E12" s="409"/>
      <c r="F12" s="409"/>
      <c r="G12" s="108"/>
      <c r="H12" s="414" t="s">
        <v>0</v>
      </c>
      <c r="I12" s="414"/>
      <c r="J12" s="414"/>
      <c r="K12" s="414"/>
      <c r="L12" s="414"/>
    </row>
    <row r="13" spans="1:13" ht="21" x14ac:dyDescent="0.35">
      <c r="A13" s="350" t="s">
        <v>0</v>
      </c>
      <c r="B13" s="350"/>
      <c r="C13" s="350"/>
      <c r="D13" s="350"/>
      <c r="E13" s="350"/>
      <c r="F13" s="350"/>
      <c r="J13" t="s">
        <v>70</v>
      </c>
    </row>
    <row r="14" spans="1:13" ht="18.5" x14ac:dyDescent="0.35">
      <c r="A14" s="407"/>
      <c r="B14" s="407"/>
      <c r="C14" s="408" t="s">
        <v>123</v>
      </c>
      <c r="D14" s="408"/>
      <c r="E14" s="408"/>
      <c r="F14" s="139"/>
    </row>
    <row r="15" spans="1:13" x14ac:dyDescent="0.35">
      <c r="A15" s="108" t="s">
        <v>77</v>
      </c>
      <c r="B15" s="176" t="s">
        <v>36</v>
      </c>
      <c r="C15" s="85" t="s">
        <v>55</v>
      </c>
      <c r="D15" s="108" t="s">
        <v>5</v>
      </c>
      <c r="E15" s="108" t="s">
        <v>56</v>
      </c>
      <c r="F15" s="108" t="s">
        <v>124</v>
      </c>
      <c r="H15" s="412" t="s">
        <v>36</v>
      </c>
      <c r="I15" s="413"/>
      <c r="J15" s="102" t="s">
        <v>68</v>
      </c>
      <c r="K15" s="102" t="s">
        <v>131</v>
      </c>
      <c r="L15" s="102" t="s">
        <v>56</v>
      </c>
    </row>
    <row r="16" spans="1:13" ht="28" customHeight="1" x14ac:dyDescent="0.35">
      <c r="A16" s="135">
        <v>1</v>
      </c>
      <c r="B16" s="197">
        <v>45327</v>
      </c>
      <c r="C16" s="185" t="s">
        <v>150</v>
      </c>
      <c r="D16" s="108" t="s">
        <v>135</v>
      </c>
      <c r="E16" s="108">
        <v>200</v>
      </c>
      <c r="F16" s="108" t="s">
        <v>164</v>
      </c>
      <c r="H16" s="410"/>
      <c r="I16" s="411"/>
      <c r="J16" s="102"/>
      <c r="K16" s="102"/>
      <c r="L16" s="102"/>
    </row>
    <row r="17" spans="1:12" x14ac:dyDescent="0.35">
      <c r="B17"/>
      <c r="C17"/>
      <c r="E17"/>
      <c r="L17" s="102"/>
    </row>
    <row r="18" spans="1:12" x14ac:dyDescent="0.35">
      <c r="A18" s="124"/>
      <c r="B18" s="184"/>
      <c r="C18" s="186"/>
      <c r="D18" s="108" t="s">
        <v>23</v>
      </c>
      <c r="E18" s="48">
        <f>SUM(E16:E16)</f>
        <v>200</v>
      </c>
      <c r="F18" s="108"/>
      <c r="K18" s="102" t="s">
        <v>23</v>
      </c>
      <c r="L18" s="102">
        <v>500</v>
      </c>
    </row>
    <row r="20" spans="1:12" x14ac:dyDescent="0.35">
      <c r="A20" s="114"/>
      <c r="B20" s="177" t="s">
        <v>128</v>
      </c>
      <c r="C20" s="187"/>
      <c r="D20" s="114"/>
      <c r="E20" s="182"/>
      <c r="F20" s="114"/>
      <c r="H20" s="137"/>
      <c r="I20" s="178"/>
      <c r="J20" s="47"/>
      <c r="L20" s="47"/>
    </row>
    <row r="21" spans="1:12" x14ac:dyDescent="0.35">
      <c r="A21" s="137" t="s">
        <v>78</v>
      </c>
      <c r="B21" s="178"/>
      <c r="C21" s="188"/>
      <c r="D21" s="47" t="s">
        <v>79</v>
      </c>
      <c r="F21" s="47" t="s">
        <v>80</v>
      </c>
      <c r="H21" s="138"/>
      <c r="I21" s="177"/>
      <c r="J21" s="114"/>
      <c r="L21" s="114"/>
    </row>
    <row r="22" spans="1:12" x14ac:dyDescent="0.35">
      <c r="A22" s="138" t="s">
        <v>30</v>
      </c>
      <c r="B22" s="177"/>
      <c r="C22" s="187"/>
      <c r="D22" s="114" t="s">
        <v>81</v>
      </c>
      <c r="F22" s="114" t="s">
        <v>82</v>
      </c>
      <c r="H22" s="137" t="s">
        <v>78</v>
      </c>
      <c r="I22" s="178"/>
      <c r="J22" s="47" t="s">
        <v>79</v>
      </c>
      <c r="L22" s="47" t="s">
        <v>80</v>
      </c>
    </row>
    <row r="23" spans="1:12" x14ac:dyDescent="0.35">
      <c r="H23" s="138" t="s">
        <v>30</v>
      </c>
      <c r="I23" s="177"/>
      <c r="J23" s="114" t="s">
        <v>81</v>
      </c>
      <c r="L23" s="114" t="s">
        <v>82</v>
      </c>
    </row>
    <row r="25" spans="1:12" ht="21" x14ac:dyDescent="0.35">
      <c r="A25" s="350" t="s">
        <v>0</v>
      </c>
      <c r="B25" s="350"/>
      <c r="C25" s="350"/>
      <c r="D25" s="350"/>
      <c r="E25" s="350"/>
      <c r="F25" s="350"/>
    </row>
    <row r="26" spans="1:12" ht="18.5" x14ac:dyDescent="0.35">
      <c r="A26" s="407"/>
      <c r="B26" s="407"/>
      <c r="C26" s="408" t="s">
        <v>89</v>
      </c>
      <c r="D26" s="408"/>
      <c r="E26" s="408"/>
      <c r="F26" s="139"/>
    </row>
    <row r="27" spans="1:12" x14ac:dyDescent="0.35">
      <c r="A27" s="108" t="s">
        <v>77</v>
      </c>
      <c r="B27" s="176" t="s">
        <v>36</v>
      </c>
      <c r="C27" s="185" t="s">
        <v>238</v>
      </c>
      <c r="D27" s="108" t="s">
        <v>5</v>
      </c>
      <c r="E27" s="108" t="s">
        <v>56</v>
      </c>
      <c r="F27" s="108" t="s">
        <v>90</v>
      </c>
    </row>
    <row r="28" spans="1:12" ht="18.5" x14ac:dyDescent="0.35">
      <c r="A28" s="135">
        <v>1</v>
      </c>
      <c r="B28" s="176">
        <v>46023</v>
      </c>
      <c r="C28" s="275" t="s">
        <v>239</v>
      </c>
      <c r="D28" s="108" t="s">
        <v>149</v>
      </c>
      <c r="E28" s="108">
        <v>100</v>
      </c>
      <c r="F28" s="108"/>
    </row>
    <row r="29" spans="1:12" ht="18.5" x14ac:dyDescent="0.35">
      <c r="A29" s="135"/>
      <c r="B29" s="176"/>
      <c r="C29" s="275"/>
      <c r="D29" s="108"/>
      <c r="E29" s="108"/>
      <c r="F29" s="108"/>
    </row>
    <row r="30" spans="1:12" x14ac:dyDescent="0.35">
      <c r="A30" s="124"/>
      <c r="B30" s="184"/>
      <c r="C30" s="186"/>
      <c r="D30" s="272" t="s">
        <v>23</v>
      </c>
      <c r="E30" s="273">
        <f>SUM(E28:E29)</f>
        <v>100</v>
      </c>
      <c r="F30" s="108"/>
    </row>
    <row r="32" spans="1:12" x14ac:dyDescent="0.35">
      <c r="A32" s="114"/>
      <c r="B32" s="177"/>
      <c r="C32" s="187"/>
      <c r="D32" s="114"/>
      <c r="E32" s="182"/>
      <c r="F32" s="114"/>
    </row>
    <row r="33" spans="1:6" x14ac:dyDescent="0.35">
      <c r="A33" s="137" t="s">
        <v>78</v>
      </c>
      <c r="B33" s="178"/>
      <c r="C33" s="188"/>
      <c r="D33" s="47" t="s">
        <v>79</v>
      </c>
      <c r="F33" s="47" t="s">
        <v>80</v>
      </c>
    </row>
    <row r="34" spans="1:6" x14ac:dyDescent="0.35">
      <c r="A34" s="138" t="s">
        <v>30</v>
      </c>
      <c r="B34" s="177"/>
      <c r="C34" s="187"/>
      <c r="D34" s="114" t="s">
        <v>81</v>
      </c>
      <c r="F34" s="114" t="s">
        <v>82</v>
      </c>
    </row>
    <row r="37" spans="1:6" ht="21" x14ac:dyDescent="0.35">
      <c r="A37" s="350" t="s">
        <v>0</v>
      </c>
      <c r="B37" s="350"/>
      <c r="C37" s="350"/>
      <c r="D37" s="350"/>
      <c r="E37" s="350"/>
      <c r="F37" s="350"/>
    </row>
    <row r="38" spans="1:6" ht="18.5" x14ac:dyDescent="0.35">
      <c r="A38" s="407"/>
      <c r="B38" s="407"/>
      <c r="C38" s="408" t="s">
        <v>89</v>
      </c>
      <c r="D38" s="408"/>
      <c r="E38" s="408"/>
      <c r="F38" s="139"/>
    </row>
    <row r="39" spans="1:6" x14ac:dyDescent="0.35">
      <c r="A39" s="108" t="s">
        <v>77</v>
      </c>
      <c r="B39" s="176" t="s">
        <v>36</v>
      </c>
      <c r="C39" s="85" t="s">
        <v>55</v>
      </c>
      <c r="D39" s="108" t="s">
        <v>5</v>
      </c>
      <c r="E39" s="108" t="s">
        <v>56</v>
      </c>
      <c r="F39" s="108" t="s">
        <v>124</v>
      </c>
    </row>
    <row r="40" spans="1:6" ht="18.5" x14ac:dyDescent="0.35">
      <c r="A40" s="135">
        <v>1</v>
      </c>
      <c r="B40" s="197">
        <v>46025</v>
      </c>
      <c r="C40" s="324" t="s">
        <v>241</v>
      </c>
      <c r="D40" s="108" t="s">
        <v>135</v>
      </c>
      <c r="E40" s="108">
        <v>400</v>
      </c>
      <c r="F40" s="405" t="s">
        <v>242</v>
      </c>
    </row>
    <row r="41" spans="1:6" ht="37.5" customHeight="1" x14ac:dyDescent="0.35">
      <c r="A41" s="135">
        <v>2</v>
      </c>
      <c r="B41" s="197">
        <v>46027</v>
      </c>
      <c r="C41" s="324" t="s">
        <v>241</v>
      </c>
      <c r="D41" s="108" t="s">
        <v>135</v>
      </c>
      <c r="E41" s="108">
        <v>400</v>
      </c>
      <c r="F41" s="406"/>
    </row>
    <row r="42" spans="1:6" x14ac:dyDescent="0.35">
      <c r="B42"/>
      <c r="C42"/>
      <c r="E42"/>
    </row>
    <row r="43" spans="1:6" x14ac:dyDescent="0.35">
      <c r="A43" s="124"/>
      <c r="B43" s="184"/>
      <c r="C43" s="186"/>
      <c r="D43" s="108" t="s">
        <v>23</v>
      </c>
      <c r="E43" s="48">
        <f>SUM(E40:E41)</f>
        <v>800</v>
      </c>
      <c r="F43" s="108"/>
    </row>
    <row r="45" spans="1:6" x14ac:dyDescent="0.35">
      <c r="A45" s="114"/>
      <c r="B45" s="177" t="s">
        <v>128</v>
      </c>
      <c r="C45" s="187"/>
      <c r="D45" s="114"/>
      <c r="E45" s="182"/>
      <c r="F45" s="114"/>
    </row>
    <row r="46" spans="1:6" x14ac:dyDescent="0.35">
      <c r="A46" s="137" t="s">
        <v>78</v>
      </c>
      <c r="B46" s="178"/>
      <c r="C46" s="188"/>
      <c r="D46" s="47" t="s">
        <v>79</v>
      </c>
      <c r="F46" s="47" t="s">
        <v>80</v>
      </c>
    </row>
    <row r="47" spans="1:6" x14ac:dyDescent="0.35">
      <c r="A47" s="138" t="s">
        <v>30</v>
      </c>
      <c r="B47" s="177"/>
      <c r="C47" s="187"/>
      <c r="D47" s="114" t="s">
        <v>81</v>
      </c>
      <c r="F47" s="114" t="s">
        <v>82</v>
      </c>
    </row>
  </sheetData>
  <mergeCells count="20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  <mergeCell ref="F40:F41"/>
    <mergeCell ref="A25:F25"/>
    <mergeCell ref="A26:B26"/>
    <mergeCell ref="C26:E26"/>
    <mergeCell ref="A37:F37"/>
    <mergeCell ref="A38:B38"/>
    <mergeCell ref="C38:E38"/>
  </mergeCells>
  <pageMargins left="0.7" right="0.7" top="0.75" bottom="0.75" header="0.3" footer="0.3"/>
  <pageSetup scale="89" orientation="portrait" r:id="rId1"/>
  <colBreaks count="1" manualBreakCount="1">
    <brk id="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4.5" x14ac:dyDescent="0.35"/>
  <cols>
    <col min="1" max="1" width="8.54296875" customWidth="1"/>
    <col min="2" max="2" width="12.7265625" customWidth="1"/>
    <col min="3" max="3" width="38" customWidth="1"/>
    <col min="4" max="4" width="20" customWidth="1"/>
    <col min="7" max="7" width="13" customWidth="1"/>
    <col min="8" max="8" width="46.26953125" customWidth="1"/>
    <col min="9" max="9" width="18" customWidth="1"/>
  </cols>
  <sheetData>
    <row r="1" spans="1:9" ht="23.5" x14ac:dyDescent="0.55000000000000004">
      <c r="A1" s="425" t="s">
        <v>91</v>
      </c>
      <c r="B1" s="426"/>
      <c r="C1" s="426"/>
      <c r="D1" s="427"/>
      <c r="F1" s="417" t="s">
        <v>106</v>
      </c>
      <c r="G1" s="418"/>
      <c r="H1" s="418"/>
      <c r="I1" s="419"/>
    </row>
    <row r="2" spans="1:9" ht="18.5" x14ac:dyDescent="0.45">
      <c r="A2" s="428" t="s">
        <v>92</v>
      </c>
      <c r="B2" s="421"/>
      <c r="C2" s="421"/>
      <c r="D2" s="429"/>
      <c r="F2" s="420" t="s">
        <v>92</v>
      </c>
      <c r="G2" s="421"/>
      <c r="H2" s="421"/>
      <c r="I2" s="422"/>
    </row>
    <row r="3" spans="1:9" x14ac:dyDescent="0.35">
      <c r="A3" s="141"/>
      <c r="B3" s="142"/>
      <c r="D3" s="143"/>
      <c r="F3" s="155"/>
      <c r="I3" s="106"/>
    </row>
    <row r="4" spans="1:9" x14ac:dyDescent="0.35">
      <c r="A4" s="144" t="s">
        <v>93</v>
      </c>
      <c r="B4" s="145" t="s">
        <v>36</v>
      </c>
      <c r="C4" s="144" t="s">
        <v>55</v>
      </c>
      <c r="D4" s="144" t="s">
        <v>94</v>
      </c>
      <c r="F4" s="163"/>
      <c r="G4" s="164"/>
      <c r="H4" s="164"/>
      <c r="I4" s="165"/>
    </row>
    <row r="5" spans="1:9" x14ac:dyDescent="0.35">
      <c r="A5" s="111">
        <v>1</v>
      </c>
      <c r="B5" s="146"/>
      <c r="C5" s="147"/>
      <c r="D5" s="111"/>
      <c r="F5" s="155"/>
      <c r="I5" s="106"/>
    </row>
    <row r="6" spans="1:9" x14ac:dyDescent="0.35">
      <c r="A6" s="111">
        <v>2</v>
      </c>
      <c r="B6" s="146"/>
      <c r="C6" s="147"/>
      <c r="D6" s="111"/>
      <c r="F6" s="156" t="s">
        <v>93</v>
      </c>
      <c r="G6" s="144" t="s">
        <v>36</v>
      </c>
      <c r="H6" s="144" t="s">
        <v>55</v>
      </c>
      <c r="I6" s="157" t="s">
        <v>94</v>
      </c>
    </row>
    <row r="7" spans="1:9" x14ac:dyDescent="0.35">
      <c r="A7" s="111">
        <v>3</v>
      </c>
      <c r="B7" s="146"/>
      <c r="C7" s="147"/>
      <c r="D7" s="111"/>
      <c r="F7" s="110">
        <v>1</v>
      </c>
      <c r="G7" s="146"/>
      <c r="H7" s="166"/>
      <c r="I7" s="112"/>
    </row>
    <row r="8" spans="1:9" x14ac:dyDescent="0.35">
      <c r="A8" s="111">
        <v>4</v>
      </c>
      <c r="B8" s="146"/>
      <c r="C8" s="111"/>
      <c r="D8" s="111"/>
      <c r="F8" s="110">
        <v>2</v>
      </c>
      <c r="G8" s="111"/>
      <c r="H8" s="111"/>
      <c r="I8" s="112"/>
    </row>
    <row r="9" spans="1:9" x14ac:dyDescent="0.35">
      <c r="A9" s="111">
        <v>5</v>
      </c>
      <c r="B9" s="146"/>
      <c r="C9" s="111"/>
      <c r="D9" s="111"/>
      <c r="F9" s="110">
        <v>3</v>
      </c>
      <c r="G9" s="111"/>
      <c r="H9" s="111"/>
      <c r="I9" s="112"/>
    </row>
    <row r="10" spans="1:9" x14ac:dyDescent="0.35">
      <c r="A10" s="111">
        <v>5</v>
      </c>
      <c r="B10" s="146"/>
      <c r="C10" s="111"/>
      <c r="D10" s="111"/>
      <c r="F10" s="110">
        <v>4</v>
      </c>
      <c r="G10" s="111"/>
      <c r="H10" s="111"/>
      <c r="I10" s="112"/>
    </row>
    <row r="11" spans="1:9" x14ac:dyDescent="0.35">
      <c r="A11" s="111">
        <v>6</v>
      </c>
      <c r="B11" s="146"/>
      <c r="C11" s="111"/>
      <c r="D11" s="111"/>
      <c r="F11" s="110">
        <v>5</v>
      </c>
      <c r="G11" s="111"/>
      <c r="H11" s="111"/>
      <c r="I11" s="112"/>
    </row>
    <row r="12" spans="1:9" ht="21" x14ac:dyDescent="0.35">
      <c r="A12" s="111">
        <v>7</v>
      </c>
      <c r="B12" s="146"/>
      <c r="C12" s="111"/>
      <c r="D12" s="111"/>
      <c r="F12" s="423" t="s">
        <v>23</v>
      </c>
      <c r="G12" s="424"/>
      <c r="H12" s="424"/>
      <c r="I12" s="112"/>
    </row>
    <row r="13" spans="1:9" ht="21" x14ac:dyDescent="0.35">
      <c r="A13" s="430" t="s">
        <v>23</v>
      </c>
      <c r="B13" s="424"/>
      <c r="C13" s="424"/>
      <c r="D13" s="111">
        <f>SUM(D5:D12)</f>
        <v>0</v>
      </c>
      <c r="F13" s="155"/>
      <c r="I13" s="106"/>
    </row>
    <row r="14" spans="1:9" x14ac:dyDescent="0.35">
      <c r="A14" s="141"/>
      <c r="B14" s="142"/>
      <c r="D14" s="143"/>
      <c r="F14" s="155"/>
      <c r="I14" s="106"/>
    </row>
    <row r="15" spans="1:9" x14ac:dyDescent="0.35">
      <c r="A15" s="141"/>
      <c r="B15" s="148" t="s">
        <v>95</v>
      </c>
      <c r="C15" t="s">
        <v>96</v>
      </c>
      <c r="D15" s="143"/>
      <c r="F15" s="116"/>
      <c r="I15" s="106"/>
    </row>
    <row r="16" spans="1:9" x14ac:dyDescent="0.35">
      <c r="A16" s="149" t="s">
        <v>97</v>
      </c>
      <c r="B16" s="142" t="s">
        <v>98</v>
      </c>
      <c r="D16" s="143"/>
      <c r="F16" s="155"/>
      <c r="I16" s="106"/>
    </row>
    <row r="17" spans="1:9" x14ac:dyDescent="0.35">
      <c r="A17" s="141" t="s">
        <v>99</v>
      </c>
      <c r="B17" s="150" t="s">
        <v>100</v>
      </c>
      <c r="D17" s="143"/>
      <c r="F17" s="155"/>
      <c r="I17" s="106"/>
    </row>
    <row r="18" spans="1:9" x14ac:dyDescent="0.35">
      <c r="A18" s="141"/>
      <c r="B18" s="142"/>
      <c r="D18" s="143"/>
      <c r="F18" s="116" t="s">
        <v>107</v>
      </c>
      <c r="H18" t="s">
        <v>108</v>
      </c>
      <c r="I18" s="106"/>
    </row>
    <row r="19" spans="1:9" x14ac:dyDescent="0.35">
      <c r="A19" s="141"/>
      <c r="B19" s="142"/>
      <c r="D19" s="143"/>
      <c r="F19" s="155"/>
      <c r="I19" s="106"/>
    </row>
    <row r="20" spans="1:9" x14ac:dyDescent="0.35">
      <c r="A20" s="149" t="s">
        <v>101</v>
      </c>
      <c r="B20" s="137"/>
      <c r="C20" s="47" t="s">
        <v>31</v>
      </c>
      <c r="D20" s="143"/>
      <c r="F20" s="155"/>
      <c r="I20" s="106"/>
    </row>
    <row r="21" spans="1:9" x14ac:dyDescent="0.35">
      <c r="A21" s="151"/>
      <c r="B21" s="152"/>
      <c r="C21" s="153"/>
      <c r="D21" s="154"/>
      <c r="F21" s="155"/>
      <c r="I21" s="106"/>
    </row>
    <row r="22" spans="1:9" ht="15" thickBot="1" x14ac:dyDescent="0.4">
      <c r="A22" s="47"/>
      <c r="B22" s="142"/>
      <c r="F22" s="116" t="s">
        <v>101</v>
      </c>
      <c r="H22" s="47" t="s">
        <v>31</v>
      </c>
      <c r="I22" s="106"/>
    </row>
    <row r="23" spans="1:9" ht="24" thickBot="1" x14ac:dyDescent="0.6">
      <c r="A23" s="417" t="s">
        <v>91</v>
      </c>
      <c r="B23" s="418"/>
      <c r="C23" s="418"/>
      <c r="D23" s="419"/>
      <c r="F23" s="161"/>
      <c r="G23" s="129"/>
      <c r="H23" s="129"/>
      <c r="I23" s="130"/>
    </row>
    <row r="24" spans="1:9" ht="18.5" x14ac:dyDescent="0.45">
      <c r="A24" s="420" t="s">
        <v>92</v>
      </c>
      <c r="B24" s="421"/>
      <c r="C24" s="421"/>
      <c r="D24" s="422"/>
    </row>
    <row r="25" spans="1:9" x14ac:dyDescent="0.35">
      <c r="A25" s="155"/>
      <c r="B25" s="142"/>
      <c r="D25" s="106"/>
    </row>
    <row r="26" spans="1:9" x14ac:dyDescent="0.35">
      <c r="A26" s="156" t="s">
        <v>93</v>
      </c>
      <c r="B26" s="145" t="s">
        <v>36</v>
      </c>
      <c r="C26" s="144" t="s">
        <v>55</v>
      </c>
      <c r="D26" s="157" t="s">
        <v>94</v>
      </c>
    </row>
    <row r="27" spans="1:9" x14ac:dyDescent="0.35">
      <c r="A27" s="110">
        <v>1</v>
      </c>
      <c r="B27" s="146">
        <v>44927</v>
      </c>
      <c r="C27" s="158" t="s">
        <v>102</v>
      </c>
      <c r="D27" s="112">
        <v>200</v>
      </c>
    </row>
    <row r="28" spans="1:9" x14ac:dyDescent="0.35">
      <c r="A28" s="110">
        <v>2</v>
      </c>
      <c r="B28" s="146"/>
      <c r="C28" s="159"/>
      <c r="D28" s="112"/>
    </row>
    <row r="29" spans="1:9" x14ac:dyDescent="0.35">
      <c r="A29" s="110">
        <v>3</v>
      </c>
      <c r="B29" s="146"/>
      <c r="C29" s="159"/>
      <c r="D29" s="112"/>
    </row>
    <row r="30" spans="1:9" x14ac:dyDescent="0.35">
      <c r="A30" s="110">
        <v>4</v>
      </c>
      <c r="B30" s="146"/>
      <c r="C30" s="159"/>
      <c r="D30" s="112"/>
    </row>
    <row r="31" spans="1:9" x14ac:dyDescent="0.35">
      <c r="A31" s="110">
        <v>5</v>
      </c>
      <c r="B31" s="146"/>
      <c r="C31" s="111"/>
      <c r="D31" s="112"/>
    </row>
    <row r="32" spans="1:9" x14ac:dyDescent="0.35">
      <c r="A32" s="110">
        <v>6</v>
      </c>
      <c r="B32" s="146"/>
      <c r="C32" s="111"/>
      <c r="D32" s="112"/>
    </row>
    <row r="33" spans="1:4" x14ac:dyDescent="0.35">
      <c r="A33" s="110">
        <v>7</v>
      </c>
      <c r="B33" s="146"/>
      <c r="C33" s="111"/>
      <c r="D33" s="112"/>
    </row>
    <row r="34" spans="1:4" ht="21" x14ac:dyDescent="0.35">
      <c r="A34" s="423" t="s">
        <v>23</v>
      </c>
      <c r="B34" s="424"/>
      <c r="C34" s="424"/>
      <c r="D34" s="112">
        <f>SUM(D27:D33)</f>
        <v>200</v>
      </c>
    </row>
    <row r="35" spans="1:4" x14ac:dyDescent="0.35">
      <c r="A35" s="155"/>
      <c r="B35" s="142"/>
      <c r="D35" s="106"/>
    </row>
    <row r="36" spans="1:4" x14ac:dyDescent="0.35">
      <c r="A36" s="415"/>
      <c r="B36" s="353"/>
      <c r="C36" s="353"/>
      <c r="D36" s="416"/>
    </row>
    <row r="37" spans="1:4" x14ac:dyDescent="0.35">
      <c r="A37" s="116"/>
      <c r="B37" s="160"/>
      <c r="C37" s="150"/>
      <c r="D37" s="106"/>
    </row>
    <row r="38" spans="1:4" x14ac:dyDescent="0.35">
      <c r="A38" s="155" t="s">
        <v>103</v>
      </c>
      <c r="B38" s="142" t="s">
        <v>104</v>
      </c>
      <c r="D38" s="106"/>
    </row>
    <row r="39" spans="1:4" x14ac:dyDescent="0.35">
      <c r="A39" s="116" t="s">
        <v>99</v>
      </c>
      <c r="B39" s="142" t="s">
        <v>105</v>
      </c>
      <c r="D39" s="106"/>
    </row>
    <row r="40" spans="1:4" x14ac:dyDescent="0.35">
      <c r="A40" s="155"/>
      <c r="B40" s="142"/>
      <c r="D40" s="106"/>
    </row>
    <row r="41" spans="1:4" x14ac:dyDescent="0.35">
      <c r="A41" s="155"/>
      <c r="B41" s="142"/>
      <c r="D41" s="106"/>
    </row>
    <row r="42" spans="1:4" x14ac:dyDescent="0.35">
      <c r="A42" s="155"/>
      <c r="B42" s="142"/>
      <c r="D42" s="106"/>
    </row>
    <row r="43" spans="1:4" x14ac:dyDescent="0.35">
      <c r="A43" s="155"/>
      <c r="B43" s="142"/>
      <c r="D43" s="106"/>
    </row>
    <row r="44" spans="1:4" x14ac:dyDescent="0.35">
      <c r="A44" s="155"/>
      <c r="B44" s="142"/>
      <c r="D44" s="106"/>
    </row>
    <row r="45" spans="1:4" x14ac:dyDescent="0.35">
      <c r="A45" s="116" t="s">
        <v>101</v>
      </c>
      <c r="B45" s="142"/>
      <c r="C45" s="47" t="s">
        <v>31</v>
      </c>
      <c r="D45" s="106"/>
    </row>
    <row r="46" spans="1:4" ht="15" thickBot="1" x14ac:dyDescent="0.4">
      <c r="A46" s="161"/>
      <c r="B46" s="162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4.5" x14ac:dyDescent="0.35"/>
  <cols>
    <col min="1" max="1" width="7.81640625" customWidth="1"/>
    <col min="3" max="3" width="34" customWidth="1"/>
    <col min="4" max="4" width="14.26953125" customWidth="1"/>
    <col min="5" max="5" width="23.26953125" customWidth="1"/>
    <col min="6" max="6" width="15.1796875" customWidth="1"/>
    <col min="9" max="9" width="11.26953125" customWidth="1"/>
    <col min="10" max="10" width="30.7265625" customWidth="1"/>
    <col min="12" max="12" width="15.54296875" customWidth="1"/>
    <col min="13" max="13" width="15.7265625" customWidth="1"/>
  </cols>
  <sheetData>
    <row r="1" spans="1:13" ht="23.5" x14ac:dyDescent="0.55000000000000004">
      <c r="A1" s="417" t="s">
        <v>109</v>
      </c>
      <c r="B1" s="418"/>
      <c r="C1" s="418"/>
      <c r="D1" s="418"/>
      <c r="E1" s="418"/>
      <c r="F1" s="419"/>
      <c r="H1" s="417" t="s">
        <v>113</v>
      </c>
      <c r="I1" s="418"/>
      <c r="J1" s="418"/>
      <c r="K1" s="418"/>
      <c r="L1" s="418"/>
      <c r="M1" s="419"/>
    </row>
    <row r="2" spans="1:13" ht="18.5" x14ac:dyDescent="0.45">
      <c r="A2" s="420" t="s">
        <v>92</v>
      </c>
      <c r="B2" s="421"/>
      <c r="C2" s="421"/>
      <c r="D2" s="421"/>
      <c r="E2" s="421"/>
      <c r="F2" s="422"/>
      <c r="H2" s="420" t="s">
        <v>92</v>
      </c>
      <c r="I2" s="421"/>
      <c r="J2" s="421"/>
      <c r="K2" s="421"/>
      <c r="L2" s="421"/>
      <c r="M2" s="422"/>
    </row>
    <row r="3" spans="1:13" x14ac:dyDescent="0.35">
      <c r="A3" s="155"/>
      <c r="B3" s="142"/>
      <c r="F3" s="106"/>
      <c r="H3" s="105"/>
      <c r="M3" s="106"/>
    </row>
    <row r="4" spans="1:13" x14ac:dyDescent="0.35">
      <c r="A4" s="163"/>
      <c r="B4" s="172"/>
      <c r="C4" s="164"/>
      <c r="D4" s="164"/>
      <c r="E4" s="164"/>
      <c r="F4" s="165"/>
      <c r="H4" s="156" t="s">
        <v>93</v>
      </c>
      <c r="I4" s="145" t="s">
        <v>36</v>
      </c>
      <c r="J4" s="144" t="s">
        <v>110</v>
      </c>
      <c r="K4" s="144" t="s">
        <v>111</v>
      </c>
      <c r="L4" s="167" t="s">
        <v>55</v>
      </c>
      <c r="M4" s="157" t="s">
        <v>94</v>
      </c>
    </row>
    <row r="5" spans="1:13" x14ac:dyDescent="0.35">
      <c r="A5" s="155"/>
      <c r="B5" s="142"/>
      <c r="F5" s="106"/>
      <c r="H5" s="110">
        <v>1</v>
      </c>
      <c r="I5" s="146"/>
      <c r="J5" s="111"/>
      <c r="K5" s="111"/>
      <c r="L5" s="136"/>
      <c r="M5" s="112"/>
    </row>
    <row r="6" spans="1:13" x14ac:dyDescent="0.35">
      <c r="A6" s="156" t="s">
        <v>93</v>
      </c>
      <c r="B6" s="145" t="s">
        <v>36</v>
      </c>
      <c r="C6" s="144" t="s">
        <v>110</v>
      </c>
      <c r="D6" s="144" t="s">
        <v>111</v>
      </c>
      <c r="E6" s="167" t="s">
        <v>55</v>
      </c>
      <c r="F6" s="157" t="s">
        <v>94</v>
      </c>
      <c r="H6" s="110">
        <v>2</v>
      </c>
      <c r="I6" s="146"/>
      <c r="J6" s="111"/>
      <c r="K6" s="111"/>
      <c r="L6" s="136"/>
      <c r="M6" s="112"/>
    </row>
    <row r="7" spans="1:13" ht="21" x14ac:dyDescent="0.35">
      <c r="A7" s="110">
        <v>1</v>
      </c>
      <c r="B7" s="146"/>
      <c r="C7" s="111"/>
      <c r="D7" s="111"/>
      <c r="E7" s="168"/>
      <c r="F7" s="112"/>
      <c r="H7" s="423" t="s">
        <v>23</v>
      </c>
      <c r="I7" s="424"/>
      <c r="J7" s="424"/>
      <c r="K7" s="424"/>
      <c r="L7" s="431"/>
      <c r="M7" s="112"/>
    </row>
    <row r="8" spans="1:13" x14ac:dyDescent="0.35">
      <c r="A8" s="110">
        <v>2</v>
      </c>
      <c r="B8" s="146"/>
      <c r="C8" s="111"/>
      <c r="D8" s="111"/>
      <c r="E8" s="136"/>
      <c r="F8" s="112"/>
      <c r="H8" s="105"/>
      <c r="M8" s="106"/>
    </row>
    <row r="9" spans="1:13" ht="21" x14ac:dyDescent="0.35">
      <c r="A9" s="423" t="s">
        <v>23</v>
      </c>
      <c r="B9" s="424"/>
      <c r="C9" s="424"/>
      <c r="D9" s="424"/>
      <c r="E9" s="431"/>
      <c r="F9" s="112"/>
      <c r="H9" s="105"/>
      <c r="M9" s="106"/>
    </row>
    <row r="10" spans="1:13" x14ac:dyDescent="0.35">
      <c r="A10" s="155"/>
      <c r="B10" s="142"/>
      <c r="F10" s="106"/>
      <c r="H10" s="105"/>
      <c r="M10" s="106"/>
    </row>
    <row r="11" spans="1:13" x14ac:dyDescent="0.35">
      <c r="A11" s="116"/>
      <c r="B11" s="142"/>
      <c r="F11" s="106"/>
      <c r="H11" s="155"/>
      <c r="I11" s="142"/>
      <c r="M11" s="106"/>
    </row>
    <row r="12" spans="1:13" x14ac:dyDescent="0.35">
      <c r="A12" s="155"/>
      <c r="B12" s="142"/>
      <c r="F12" s="106"/>
      <c r="H12" s="155"/>
      <c r="I12" s="142"/>
      <c r="M12" s="106"/>
    </row>
    <row r="13" spans="1:13" x14ac:dyDescent="0.35">
      <c r="A13" s="155"/>
      <c r="B13" s="142"/>
      <c r="F13" s="106"/>
      <c r="H13" s="155"/>
      <c r="I13" s="142"/>
      <c r="M13" s="106"/>
    </row>
    <row r="14" spans="1:13" x14ac:dyDescent="0.35">
      <c r="A14" s="155"/>
      <c r="B14" s="169" t="s">
        <v>112</v>
      </c>
      <c r="C14" s="47"/>
      <c r="D14" s="170" t="s">
        <v>101</v>
      </c>
      <c r="E14" s="47"/>
      <c r="F14" s="171" t="s">
        <v>31</v>
      </c>
      <c r="H14" s="173" t="s">
        <v>112</v>
      </c>
      <c r="I14" s="47"/>
      <c r="J14" s="170" t="s">
        <v>101</v>
      </c>
      <c r="K14" s="47"/>
      <c r="M14" s="171" t="s">
        <v>31</v>
      </c>
    </row>
    <row r="15" spans="1:13" ht="15" thickBot="1" x14ac:dyDescent="0.4">
      <c r="A15" s="161"/>
      <c r="B15" s="162"/>
      <c r="C15" s="129"/>
      <c r="D15" s="129"/>
      <c r="E15" s="129"/>
      <c r="F15" s="130"/>
      <c r="H15" s="161"/>
      <c r="I15" s="162"/>
      <c r="J15" s="129"/>
      <c r="K15" s="129"/>
      <c r="L15" s="129"/>
      <c r="M15" s="130"/>
    </row>
    <row r="16" spans="1:13" x14ac:dyDescent="0.35">
      <c r="A16" s="155"/>
      <c r="B16" s="142"/>
      <c r="H16" s="47"/>
      <c r="I16" s="142"/>
    </row>
    <row r="17" spans="8:12" x14ac:dyDescent="0.35">
      <c r="H17" s="137"/>
      <c r="I17" s="142"/>
    </row>
    <row r="18" spans="8:12" x14ac:dyDescent="0.35">
      <c r="H18" s="47"/>
      <c r="I18" s="142"/>
    </row>
    <row r="19" spans="8:12" x14ac:dyDescent="0.35">
      <c r="H19" s="47"/>
      <c r="I19" s="142"/>
    </row>
    <row r="20" spans="8:12" x14ac:dyDescent="0.35">
      <c r="H20" s="47"/>
      <c r="I20" s="142"/>
    </row>
    <row r="21" spans="8:12" x14ac:dyDescent="0.35">
      <c r="H21" s="137"/>
      <c r="I21" s="142"/>
      <c r="K21" s="47"/>
      <c r="L21" s="47"/>
    </row>
    <row r="22" spans="8:12" x14ac:dyDescent="0.35">
      <c r="H22" s="47"/>
      <c r="I22" s="142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Goods Delivery Voucher</vt:lpstr>
      <vt:lpstr>Conveyance Voucher</vt:lpstr>
      <vt:lpstr>4. Goods Sending Expense</vt:lpstr>
      <vt:lpstr>3. B2B-Non Power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 Ahmed</cp:lastModifiedBy>
  <cp:lastPrinted>2026-01-13T04:58:00Z</cp:lastPrinted>
  <dcterms:created xsi:type="dcterms:W3CDTF">2023-01-08T05:51:58Z</dcterms:created>
  <dcterms:modified xsi:type="dcterms:W3CDTF">2026-01-13T05:04:43Z</dcterms:modified>
</cp:coreProperties>
</file>