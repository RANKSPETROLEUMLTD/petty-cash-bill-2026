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office file\petty cash bill\1-1-2026 to 31-12-2026\1-1-2026 TO 31-1-2026\21-1-2026 TO 31-1-2026\"/>
    </mc:Choice>
  </mc:AlternateContent>
  <xr:revisionPtr revIDLastSave="0" documentId="13_ncr:1_{FC7DEC2E-9584-4F9F-A2EB-D1B5C537AE81}" xr6:coauthVersionLast="47" xr6:coauthVersionMax="47" xr10:uidLastSave="{00000000-0000-0000-0000-000000000000}"/>
  <bookViews>
    <workbookView xWindow="-110" yWindow="-110" windowWidth="19420" windowHeight="1030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0" l="1"/>
  <c r="G78" i="18"/>
  <c r="G26" i="18"/>
  <c r="A9" i="19"/>
  <c r="A11" i="19"/>
  <c r="A13" i="19"/>
  <c r="A15" i="19"/>
  <c r="A17" i="19"/>
  <c r="A19" i="19"/>
  <c r="A21" i="19"/>
  <c r="A23" i="19"/>
  <c r="A25" i="19"/>
  <c r="L30" i="3"/>
  <c r="L31" i="3"/>
  <c r="L32" i="3"/>
  <c r="L27" i="3"/>
  <c r="L28" i="3"/>
  <c r="L29" i="3"/>
  <c r="L23" i="3" l="1"/>
  <c r="L24" i="3"/>
  <c r="L25" i="3"/>
  <c r="L26" i="3"/>
  <c r="L22" i="3" l="1"/>
  <c r="L19" i="3"/>
  <c r="L20" i="3"/>
  <c r="L21" i="3"/>
  <c r="L15" i="3"/>
  <c r="L16" i="3"/>
  <c r="L17" i="3"/>
  <c r="L18" i="3"/>
  <c r="L6" i="3" l="1"/>
  <c r="L7" i="3"/>
  <c r="L8" i="3"/>
  <c r="L9" i="3"/>
  <c r="L10" i="3"/>
  <c r="L11" i="3"/>
  <c r="L12" i="3"/>
  <c r="L13" i="3"/>
  <c r="L14" i="3"/>
  <c r="L5" i="3"/>
  <c r="E4" i="3"/>
  <c r="G4" i="3" l="1"/>
  <c r="H4" i="6"/>
  <c r="F4" i="6"/>
  <c r="G119" i="18"/>
  <c r="G103" i="18"/>
  <c r="D3" i="7"/>
  <c r="L6" i="20"/>
  <c r="G10" i="18"/>
  <c r="G48" i="18"/>
  <c r="H4" i="3"/>
  <c r="F4" i="3"/>
  <c r="D4" i="3"/>
  <c r="J4" i="3" l="1"/>
  <c r="L43" i="3"/>
  <c r="L44" i="3"/>
  <c r="L45" i="3"/>
  <c r="L46" i="3"/>
  <c r="L47" i="3"/>
  <c r="L48" i="3"/>
  <c r="L49" i="3"/>
  <c r="L50" i="3"/>
  <c r="L51" i="3"/>
  <c r="G27" i="19"/>
  <c r="E18" i="20"/>
  <c r="J4" i="6"/>
  <c r="E4" i="6"/>
  <c r="D4" i="6"/>
  <c r="A7" i="19"/>
  <c r="G62" i="18" l="1"/>
  <c r="O7" i="18" l="1"/>
  <c r="E2" i="10" l="1"/>
  <c r="C13" i="1" s="1"/>
  <c r="O38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L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C6" i="1" l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<sst xmlns="http://schemas.openxmlformats.org/spreadsheetml/2006/main" count="994" uniqueCount="252">
  <si>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</si>
  <si>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</si>
  <si>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</si>
  <si>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</si>
  <si>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</si>
  <si>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</si>
  <si>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</si>
  <si>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</si>
  <si>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</si>
  <si>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</si>
  <si>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</si>
  <si>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</si>
  <si>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</si>
  <si>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</si>
  <si>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</si>
  <si>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</si>
  <si>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</si>
  <si>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</si>
  <si>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</si>
  <si>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</si>
  <si>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</si>
  <si>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</si>
  <si>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</si>
  <si>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</si>
  <si>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</si>
  <si>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</si>
  <si>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</si>
  <si>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</si>
  <si>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</si>
  <si>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</si>
  <si>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</si>
  <si>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</si>
  <si>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</si>
  <si>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</si>
  <si>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</si>
  <si>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</si>
  <si>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</si>
  <si>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</si>
  <si>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</si>
  <si>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</si>
  <si>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</si>
  <si>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</si>
  <si>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</si>
  <si>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</si>
  <si>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</si>
  <si>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</si>
  <si>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</si>
  <si>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</si>
  <si>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</si>
  <si>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</si>
  <si>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</si>
  <si>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</si>
  <si>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</si>
  <si>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</si>
  <si>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</si>
  <si>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</si>
  <si>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</si>
  <si>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</si>
  <si>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</si>
  <si>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</si>
  <si>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</si>
  <si>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</si>
  <si>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</si>
  <si>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</si>
  <si>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</si>
  <si>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</si>
  <si>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</si>
  <si>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</si>
  <si>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</si>
  <si>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</si>
  <si>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</si>
  <si>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</si>
  <si>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</si>
  <si>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</si>
  <si>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</si>
  <si>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</si>
  <si>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</si>
  <si>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</si>
  <si>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</si>
  <si>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</si>
  <si>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</si>
  <si>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</si>
  <si>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</si>
  <si>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</si>
  <si>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</si>
  <si>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</si>
  <si>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</si>
  <si>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</si>
  <si>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</si>
  <si>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</si>
  <si>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</si>
  <si>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</si>
  <si>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</si>
  <si>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</si>
  <si>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</si>
  <si>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</si>
  <si>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</si>
  <si>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</si>
  <si>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</si>
  <si>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</si>
  <si>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</si>
  <si>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</si>
  <si>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</si>
  <si>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</si>
  <si>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</si>
  <si>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</si>
  <si>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</si>
  <si>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</si>
  <si>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</si>
  <si>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</si>
  <si>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</si>
  <si>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</si>
  <si>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</si>
  <si>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</si>
  <si>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</si>
  <si>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</si>
  <si>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</si>
  <si>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</si>
  <si>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</si>
  <si>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</si>
  <si>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</si>
  <si>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</si>
  <si>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</si>
  <si>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</si>
  <si>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</si>
  <si>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</si>
  <si>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</si>
  <si>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</si>
  <si>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</si>
  <si>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</si>
  <si>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</si>
  <si>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</si>
  <si>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</si>
  <si>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</si>
  <si>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</si>
  <si>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</si>
  <si>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</si>
  <si>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</si>
  <si>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</si>
  <si>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</si>
  <si>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</si>
  <si>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</si>
  <si>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</si>
  <si>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</si>
  <si>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</si>
  <si>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</si>
  <si>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Depot</t>
  </si>
  <si>
    <t>Unloading</t>
  </si>
  <si>
    <t>unloading</t>
  </si>
  <si>
    <t>courier</t>
  </si>
  <si>
    <t>Cost: Conveyance,food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</si>
  <si>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</si>
  <si>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</si>
  <si>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</si>
  <si>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</si>
  <si>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</si>
  <si>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</si>
  <si>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</si>
  <si>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</si>
  <si>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</si>
  <si>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</si>
  <si>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</si>
  <si>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</si>
  <si>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Goods Sending</t>
  </si>
  <si>
    <t>rafi</t>
  </si>
  <si>
    <t>rafi,sohel,arif,shah alam</t>
  </si>
  <si>
    <t>shah alam &amp; sohel &amp; rafi</t>
  </si>
  <si>
    <t>Kanok Motors</t>
  </si>
  <si>
    <t>Naim Tyre N Lube House</t>
  </si>
  <si>
    <t>Tushi Motors</t>
  </si>
  <si>
    <t>Sayed Motors</t>
  </si>
  <si>
    <t>Bhuiya Electric</t>
  </si>
  <si>
    <t>Sm Motors</t>
  </si>
  <si>
    <t>Afiya motors</t>
  </si>
  <si>
    <t>shah alam &amp; rafi</t>
  </si>
  <si>
    <t xml:space="preserve">shah alam </t>
  </si>
  <si>
    <t>sohel</t>
  </si>
  <si>
    <t>cumilla depot</t>
  </si>
  <si>
    <t>Alauddin Honda Servicing</t>
  </si>
  <si>
    <t>City Bike Shop &amp; Servicing Center</t>
  </si>
  <si>
    <t>Takiya motors</t>
  </si>
  <si>
    <t>Abm Motors</t>
  </si>
  <si>
    <t xml:space="preserve">shah alam  </t>
  </si>
  <si>
    <t>Sami Sadi Engineering</t>
  </si>
  <si>
    <t>Alam brathers</t>
  </si>
  <si>
    <t>Rubel Honda Servicing</t>
  </si>
  <si>
    <t>98732</t>
  </si>
  <si>
    <t>jacket received</t>
  </si>
  <si>
    <t>jacket delivery</t>
  </si>
  <si>
    <t>petty cash bill</t>
  </si>
  <si>
    <t>21.01.2026- 31.01.2026</t>
  </si>
  <si>
    <t>Bill No: Cum/106/jan'2026</t>
  </si>
  <si>
    <t>Month:  Janourey-2026</t>
  </si>
  <si>
    <t>Bismillah Service Center</t>
  </si>
  <si>
    <t>Mowshomi Lubricants</t>
  </si>
  <si>
    <t>The ACME Laboratories Ltd</t>
  </si>
  <si>
    <t>marketing Item</t>
  </si>
  <si>
    <t>99016</t>
  </si>
  <si>
    <t>99018</t>
  </si>
  <si>
    <t>Royal Motors-2</t>
  </si>
  <si>
    <t>sohel &amp; rafi</t>
  </si>
  <si>
    <t>hand wash &amp; tissue</t>
  </si>
  <si>
    <t>Saki Auto</t>
  </si>
  <si>
    <t>Nur Auto</t>
  </si>
  <si>
    <t>98519</t>
  </si>
  <si>
    <t xml:space="preserve">station road, cumilla sadar, cumilla	</t>
  </si>
  <si>
    <t>98545</t>
  </si>
  <si>
    <t>bus/auto/cng</t>
  </si>
  <si>
    <t>98555</t>
  </si>
  <si>
    <t>98505</t>
  </si>
  <si>
    <t>98557</t>
  </si>
  <si>
    <t xml:space="preserve">	
north side of Kokil textile, medda, b.baria sadar,Kasba Natun Bara, West side of model masjid,Noyonpur Bazar, Kasba	</t>
  </si>
  <si>
    <t>98580</t>
  </si>
  <si>
    <t>nishchintopur market, cantonment.</t>
  </si>
  <si>
    <t>98585</t>
  </si>
  <si>
    <t>poduyar Bazar Bishoroad, besides halim pump</t>
  </si>
  <si>
    <t>98601</t>
  </si>
  <si>
    <t>College Road,Kobirhat,Noakhali.</t>
  </si>
  <si>
    <t>98640</t>
  </si>
  <si>
    <t>98725</t>
  </si>
  <si>
    <t xml:space="preserve">Baypas road,beside City plaz,Ramgonj,Lakshimpur,Bilbari,Hajigonj, Chandpur	</t>
  </si>
  <si>
    <t>98727</t>
  </si>
  <si>
    <t xml:space="preserve">Medda, B.baria sadar, b.baria	</t>
  </si>
  <si>
    <t>98787</t>
  </si>
  <si>
    <t>Gowripur Bus stand, daudkandi, comilla</t>
  </si>
  <si>
    <t>98815</t>
  </si>
  <si>
    <t>Stadium market,Sadar, Chandpur</t>
  </si>
  <si>
    <t>98863</t>
  </si>
  <si>
    <t xml:space="preserve">Hospital Road,Maijdee,Noakhali.	</t>
  </si>
  <si>
    <t>station road, cumilla sadar, cumilla</t>
  </si>
  <si>
    <t>98898</t>
  </si>
  <si>
    <t>Stadium Market, Kawtoli, B bariya</t>
  </si>
  <si>
    <t>99072</t>
  </si>
  <si>
    <t>Hospital Road,Maijdee,Noakhali.</t>
  </si>
  <si>
    <t>99078</t>
  </si>
  <si>
    <t xml:space="preserve">Hospital Road,Maijdee,Noakhali.Ctg Road,Mohipal,Feni.	</t>
  </si>
  <si>
    <t>99181</t>
  </si>
  <si>
    <t>99182</t>
  </si>
  <si>
    <t>North themoni,Sadar,Laximpur,Chatkhil bazar, Chatkhil, Noakhali</t>
  </si>
  <si>
    <t>north side of Kokil textile, medda, b.baria sadar,Kasba Natun Bara</t>
  </si>
  <si>
    <t>Medda, b.baria</t>
  </si>
  <si>
    <t>Baypas road,beside City plaz,Ramgonj,Lakshimpur</t>
  </si>
  <si>
    <t>station road,  cumilla</t>
  </si>
  <si>
    <t>Chatkhil bazar, Chatkhil, Noakhali</t>
  </si>
  <si>
    <t>oduyar Bazar Bishoroad, besides halim pump</t>
  </si>
  <si>
    <t>arif &amp; sohel</t>
  </si>
  <si>
    <t xml:space="preserve">saiful </t>
  </si>
  <si>
    <t>shah alam &amp; rafi &amp; sohel</t>
  </si>
  <si>
    <t>10957,10952</t>
  </si>
  <si>
    <t>10989</t>
  </si>
  <si>
    <t>podder bazer</t>
  </si>
  <si>
    <t>sohel,arif,ahah alam&amp; 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</si>
</sst>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0"/>
      <name val="Times New Roman"/>
    </font>
    <font>
      <b/>
      <sz val="16"/>
      <name val="Tahoma"/>
      <family val="2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7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165" fontId="8" fillId="9" borderId="3" xfId="0" applyNumberFormat="1" applyFont="1" applyFill="1" applyBorder="1" applyAlignment="1">
      <alignment horizontal="center" vertical="center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17" fillId="9" borderId="3" xfId="0" applyFont="1" applyFill="1" applyBorder="1"/>
    <xf numFmtId="0" fontId="40" fillId="2" borderId="3" xfId="0" applyFont="1" applyFill="1" applyBorder="1" applyAlignment="1" applyProtection="1">
      <alignment horizontal="center" wrapText="1"/>
      <protection locked="0"/>
    </xf>
    <xf numFmtId="0" fontId="40" fillId="0" borderId="18" xfId="0" applyFont="1" applyBorder="1" applyAlignment="1" applyProtection="1">
      <alignment horizontal="center" wrapText="1"/>
      <protection locked="0"/>
    </xf>
    <xf numFmtId="0" fontId="40" fillId="0" borderId="3" xfId="0" applyFont="1" applyBorder="1" applyAlignment="1" applyProtection="1">
      <alignment horizontal="center" wrapText="1"/>
      <protection locked="0"/>
    </xf>
    <xf numFmtId="0" fontId="17" fillId="0" borderId="0" xfId="0" applyFont="1"/>
    <xf numFmtId="166" fontId="41" fillId="0" borderId="3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49" fontId="42" fillId="0" borderId="3" xfId="0" applyNumberFormat="1" applyFont="1" applyBorder="1" applyAlignment="1">
      <alignment horizontal="center" vertical="top"/>
    </xf>
    <xf numFmtId="49" fontId="42" fillId="0" borderId="3" xfId="0" applyNumberFormat="1" applyFont="1" applyBorder="1" applyAlignment="1">
      <alignment horizontal="center" vertical="top" wrapText="1"/>
    </xf>
    <xf numFmtId="166" fontId="43" fillId="0" borderId="3" xfId="0" applyNumberFormat="1" applyFont="1" applyBorder="1" applyAlignment="1">
      <alignment horizontal="center" vertical="top"/>
    </xf>
    <xf numFmtId="0" fontId="40" fillId="2" borderId="3" xfId="0" applyFont="1" applyFill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35" fillId="0" borderId="13" xfId="0" applyFont="1" applyBorder="1" applyAlignment="1" applyProtection="1">
      <alignment horizontal="center" wrapText="1"/>
      <protection locked="0"/>
    </xf>
    <xf numFmtId="0" fontId="35" fillId="0" borderId="18" xfId="0" applyFont="1" applyBorder="1" applyAlignment="1" applyProtection="1">
      <alignment horizontal="center" wrapText="1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40" fillId="0" borderId="18" xfId="0" applyFont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49" fontId="42" fillId="0" borderId="3" xfId="0" applyNumberFormat="1" applyFont="1" applyBorder="1" applyAlignment="1">
      <alignment horizontal="left" vertical="top"/>
    </xf>
    <xf numFmtId="0" fontId="8" fillId="2" borderId="3" xfId="0" applyFont="1" applyFill="1" applyBorder="1"/>
    <xf numFmtId="49" fontId="42" fillId="9" borderId="3" xfId="0" applyNumberFormat="1" applyFont="1" applyFill="1" applyBorder="1" applyAlignment="1">
      <alignment horizontal="left" vertical="top"/>
    </xf>
    <xf numFmtId="49" fontId="42" fillId="9" borderId="3" xfId="0" applyNumberFormat="1" applyFont="1" applyFill="1" applyBorder="1" applyAlignment="1">
      <alignment horizontal="center" vertical="top" wrapText="1"/>
    </xf>
    <xf numFmtId="166" fontId="43" fillId="9" borderId="3" xfId="0" applyNumberFormat="1" applyFont="1" applyFill="1" applyBorder="1" applyAlignment="1">
      <alignment horizontal="center" vertical="top"/>
    </xf>
    <xf numFmtId="0" fontId="8" fillId="9" borderId="3" xfId="0" applyFont="1" applyFill="1" applyBorder="1"/>
    <xf numFmtId="49" fontId="42" fillId="9" borderId="3" xfId="0" applyNumberFormat="1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5" fillId="9" borderId="3" xfId="0" applyFont="1" applyFill="1" applyBorder="1" applyProtection="1">
      <protection locked="0"/>
    </xf>
    <xf numFmtId="165" fontId="2" fillId="0" borderId="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5" fontId="2" fillId="0" borderId="3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/>
    <xf numFmtId="165" fontId="33" fillId="9" borderId="0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5" fillId="0" borderId="13" xfId="0" applyFont="1" applyBorder="1" applyAlignment="1" applyProtection="1">
      <alignment horizontal="center" vertical="center" wrapText="1"/>
      <protection locked="0"/>
    </xf>
    <xf numFmtId="0" fontId="36" fillId="0" borderId="13" xfId="0" applyFont="1" applyBorder="1" applyAlignment="1" applyProtection="1">
      <alignment horizontal="center" wrapText="1"/>
      <protection locked="0"/>
    </xf>
    <xf numFmtId="0" fontId="35" fillId="0" borderId="18" xfId="0" applyFont="1" applyBorder="1" applyAlignment="1" applyProtection="1">
      <alignment horizontal="center" vertical="center" wrapText="1"/>
      <protection locked="0"/>
    </xf>
    <xf numFmtId="0" fontId="36" fillId="0" borderId="18" xfId="0" applyFont="1" applyBorder="1" applyAlignment="1" applyProtection="1">
      <alignment horizontal="center" wrapText="1"/>
      <protection locked="0"/>
    </xf>
    <xf numFmtId="0" fontId="27" fillId="0" borderId="0" xfId="0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/>
    <xf numFmtId="164" fontId="22" fillId="0" borderId="3" xfId="0" applyNumberFormat="1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>
      <alignment horizontal="center"/>
    </xf>
    <xf numFmtId="0" fontId="22" fillId="0" borderId="3" xfId="0" applyFont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A10" zoomScale="75" zoomScaleNormal="112" zoomScaleSheetLayoutView="75" workbookViewId="0">
      <selection activeCell="D15" sqref="D15"/>
    </sheetView>
  </sheetViews>
  <sheetFormatPr defaultRowHeight="14.5" x14ac:dyDescent="0.35"/>
  <cols>
    <col min="1" max="1" width="24.7265625" customWidth="1"/>
    <col min="2" max="2" width="42.26953125" customWidth="1"/>
    <col min="3" max="3" width="34.81640625" style="47" bestFit="1" customWidth="1"/>
    <col min="4" max="4" width="76.81640625" customWidth="1"/>
  </cols>
  <sheetData>
    <row r="1" spans="1:4" ht="51" customHeight="1" x14ac:dyDescent="0.35">
      <c r="A1" s="309" t="s">
        <v>0</v>
      </c>
      <c r="B1" s="310"/>
      <c r="C1" s="310"/>
      <c r="D1" s="311"/>
    </row>
    <row r="2" spans="1:4" ht="23" x14ac:dyDescent="0.35">
      <c r="A2" s="312" t="s">
        <v>1</v>
      </c>
      <c r="B2" s="313"/>
      <c r="C2" s="137" t="s">
        <v>2</v>
      </c>
      <c r="D2" s="223" t="s">
        <v>190</v>
      </c>
    </row>
    <row r="3" spans="1:4" ht="20" x14ac:dyDescent="0.35">
      <c r="A3" s="4" t="s">
        <v>3</v>
      </c>
      <c r="B3" s="7" t="s">
        <v>119</v>
      </c>
      <c r="C3" s="8" t="s">
        <v>192</v>
      </c>
      <c r="D3" s="8" t="s">
        <v>191</v>
      </c>
    </row>
    <row r="4" spans="1:4" ht="33.75" customHeight="1" x14ac:dyDescent="0.35">
      <c r="A4" s="1" t="s">
        <v>4</v>
      </c>
      <c r="B4" s="1" t="s">
        <v>5</v>
      </c>
      <c r="C4" s="2" t="s">
        <v>6</v>
      </c>
      <c r="D4" s="224" t="s">
        <v>5</v>
      </c>
    </row>
    <row r="5" spans="1:4" ht="20.5" x14ac:dyDescent="0.35">
      <c r="A5" s="173">
        <v>1</v>
      </c>
      <c r="B5" s="3" t="s">
        <v>7</v>
      </c>
      <c r="C5" s="174">
        <f>'1. B2B- IPP'!M4</f>
        <v>0</v>
      </c>
      <c r="D5" s="225"/>
    </row>
    <row r="6" spans="1:4" ht="20.5" x14ac:dyDescent="0.35">
      <c r="A6" s="173">
        <v>2</v>
      </c>
      <c r="B6" s="3" t="s">
        <v>8</v>
      </c>
      <c r="C6" s="174">
        <f>'2. B2C'!L4</f>
        <v>12720</v>
      </c>
      <c r="D6" s="225" t="s">
        <v>130</v>
      </c>
    </row>
    <row r="7" spans="1:4" ht="20.5" x14ac:dyDescent="0.35">
      <c r="A7" s="173">
        <v>3</v>
      </c>
      <c r="B7" s="3" t="s">
        <v>9</v>
      </c>
      <c r="C7" s="174">
        <f>'3. B2B-Non Power'!L4</f>
        <v>0</v>
      </c>
      <c r="D7" s="225"/>
    </row>
    <row r="8" spans="1:4" ht="20.5" x14ac:dyDescent="0.35">
      <c r="A8" s="173">
        <v>4</v>
      </c>
      <c r="B8" s="3" t="s">
        <v>10</v>
      </c>
      <c r="C8" s="174">
        <f>'4. Goods Sending Expense'!L4</f>
        <v>0</v>
      </c>
      <c r="D8" s="225"/>
    </row>
    <row r="9" spans="1:4" ht="20.5" x14ac:dyDescent="0.35">
      <c r="A9" s="173">
        <v>5</v>
      </c>
      <c r="B9" s="3" t="s">
        <v>11</v>
      </c>
      <c r="C9" s="174">
        <f>'5. Goods Receiving Expense'!L4</f>
        <v>1310</v>
      </c>
      <c r="D9" s="225" t="s">
        <v>150</v>
      </c>
    </row>
    <row r="10" spans="1:4" ht="20.5" x14ac:dyDescent="0.35">
      <c r="A10" s="173">
        <v>6</v>
      </c>
      <c r="B10" s="3" t="s">
        <v>12</v>
      </c>
      <c r="C10" s="174">
        <f>'6.WH-Depot Maintenance'!D3</f>
        <v>995</v>
      </c>
      <c r="D10" s="225" t="s">
        <v>149</v>
      </c>
    </row>
    <row r="11" spans="1:4" ht="20.5" x14ac:dyDescent="0.35">
      <c r="A11" s="173">
        <v>7</v>
      </c>
      <c r="B11" s="3" t="s">
        <v>13</v>
      </c>
      <c r="C11" s="174">
        <f>'7. Utilities'!F2</f>
        <v>0</v>
      </c>
      <c r="D11" s="225"/>
    </row>
    <row r="12" spans="1:4" ht="20.5" x14ac:dyDescent="0.35">
      <c r="A12" s="173">
        <v>8</v>
      </c>
      <c r="B12" s="3" t="s">
        <v>14</v>
      </c>
      <c r="C12" s="174">
        <f>'8. Printing'!E2</f>
        <v>0</v>
      </c>
      <c r="D12" s="225"/>
    </row>
    <row r="13" spans="1:4" ht="20.5" x14ac:dyDescent="0.35">
      <c r="A13" s="173">
        <v>9</v>
      </c>
      <c r="B13" s="3" t="s">
        <v>15</v>
      </c>
      <c r="C13" s="174">
        <f>'9. Stationary'!E2</f>
        <v>0</v>
      </c>
      <c r="D13" s="225"/>
    </row>
    <row r="14" spans="1:4" ht="20.5" x14ac:dyDescent="0.35">
      <c r="A14" s="173">
        <v>10</v>
      </c>
      <c r="B14" s="3" t="s">
        <v>16</v>
      </c>
      <c r="C14" s="174">
        <f>'10-11.Delivery Van Expense'!D2</f>
        <v>0</v>
      </c>
      <c r="D14" s="225"/>
    </row>
    <row r="15" spans="1:4" ht="20.5" x14ac:dyDescent="0.35">
      <c r="A15" s="173">
        <v>11</v>
      </c>
      <c r="B15" s="3" t="s">
        <v>17</v>
      </c>
      <c r="C15" s="174">
        <f>'10-11.Delivery Van Expense'!D13</f>
        <v>0</v>
      </c>
      <c r="D15" s="225"/>
    </row>
    <row r="16" spans="1:4" ht="20.5" x14ac:dyDescent="0.35">
      <c r="A16" s="173">
        <v>12</v>
      </c>
      <c r="B16" s="3" t="s">
        <v>18</v>
      </c>
      <c r="C16" s="174">
        <f>'12. Entertainment'!D2</f>
        <v>0</v>
      </c>
      <c r="D16" s="225"/>
    </row>
    <row r="17" spans="1:7" ht="20.5" x14ac:dyDescent="0.35">
      <c r="A17" s="173">
        <v>13</v>
      </c>
      <c r="B17" s="3" t="s">
        <v>19</v>
      </c>
      <c r="C17" s="174">
        <f>'13. Food Allowance'!D2</f>
        <v>0</v>
      </c>
      <c r="D17" s="225"/>
    </row>
    <row r="18" spans="1:7" ht="20.5" x14ac:dyDescent="0.35">
      <c r="A18" s="173">
        <v>14</v>
      </c>
      <c r="B18" s="3" t="s">
        <v>20</v>
      </c>
      <c r="C18" s="174">
        <f>'14. Conveyance'!D2</f>
        <v>1300</v>
      </c>
      <c r="D18" s="225" t="s">
        <v>21</v>
      </c>
    </row>
    <row r="19" spans="1:7" ht="20.5" x14ac:dyDescent="0.35">
      <c r="A19" s="173">
        <v>15</v>
      </c>
      <c r="B19" s="3" t="s">
        <v>22</v>
      </c>
      <c r="C19" s="174">
        <f>'15. For Security'!D2</f>
        <v>0</v>
      </c>
      <c r="D19" s="226"/>
      <c r="G19" t="s">
        <v>128</v>
      </c>
    </row>
    <row r="20" spans="1:7" ht="20.5" x14ac:dyDescent="0.35">
      <c r="A20" s="173"/>
      <c r="B20" s="4" t="s">
        <v>23</v>
      </c>
      <c r="C20" s="174">
        <f>SUM(C5:C19)</f>
        <v>16325</v>
      </c>
      <c r="D20" s="226"/>
    </row>
    <row r="21" spans="1:7" ht="20.5" x14ac:dyDescent="0.35">
      <c r="A21" s="227"/>
      <c r="B21" s="228"/>
      <c r="C21" s="172"/>
      <c r="D21" s="229"/>
    </row>
    <row r="22" spans="1:7" ht="20.5" x14ac:dyDescent="0.35">
      <c r="A22" s="227"/>
      <c r="B22" s="230"/>
      <c r="C22" s="1" t="s">
        <v>24</v>
      </c>
      <c r="D22" s="2" t="s">
        <v>25</v>
      </c>
    </row>
    <row r="23" spans="1:7" ht="20.5" x14ac:dyDescent="0.35">
      <c r="A23" s="227"/>
      <c r="B23" s="228"/>
      <c r="C23" s="173" t="s">
        <v>26</v>
      </c>
      <c r="D23" s="231">
        <f>'1. B2B- IPP'!D4</f>
        <v>0</v>
      </c>
    </row>
    <row r="24" spans="1:7" ht="20.5" x14ac:dyDescent="0.35">
      <c r="A24" s="227"/>
      <c r="B24" s="228"/>
      <c r="C24" s="173" t="s">
        <v>8</v>
      </c>
      <c r="D24" s="231">
        <f>'2. B2C'!D4</f>
        <v>2054</v>
      </c>
    </row>
    <row r="25" spans="1:7" ht="20.5" x14ac:dyDescent="0.35">
      <c r="A25" s="227"/>
      <c r="B25" s="228"/>
      <c r="C25" s="173" t="s">
        <v>27</v>
      </c>
      <c r="D25" s="231">
        <f>'3. B2B-Non Power'!D4</f>
        <v>0</v>
      </c>
    </row>
    <row r="26" spans="1:7" ht="20.5" x14ac:dyDescent="0.35">
      <c r="A26" s="227"/>
      <c r="B26" s="228"/>
      <c r="C26" s="173" t="s">
        <v>10</v>
      </c>
      <c r="D26" s="231">
        <f>'4. Goods Sending Expense'!D4</f>
        <v>0</v>
      </c>
    </row>
    <row r="27" spans="1:7" ht="20.5" x14ac:dyDescent="0.35">
      <c r="A27" s="227"/>
      <c r="B27" s="228"/>
      <c r="C27" s="173" t="s">
        <v>28</v>
      </c>
      <c r="D27" s="231">
        <f>'5. Goods Receiving Expense'!D4</f>
        <v>3971.6</v>
      </c>
    </row>
    <row r="28" spans="1:7" ht="20.5" x14ac:dyDescent="0.35">
      <c r="A28" s="227"/>
      <c r="B28" s="228"/>
      <c r="C28" s="1" t="s">
        <v>29</v>
      </c>
      <c r="D28" s="232">
        <f>SUM(D23:D27)</f>
        <v>6025.6</v>
      </c>
    </row>
    <row r="29" spans="1:7" ht="20.5" x14ac:dyDescent="0.35">
      <c r="A29" s="227"/>
      <c r="B29" s="228"/>
      <c r="C29" s="233"/>
      <c r="D29" s="234"/>
    </row>
    <row r="30" spans="1:7" ht="20.5" x14ac:dyDescent="0.35">
      <c r="A30" s="227"/>
      <c r="B30" s="228"/>
      <c r="C30" s="233"/>
      <c r="D30" s="234"/>
    </row>
    <row r="31" spans="1:7" ht="20.5" x14ac:dyDescent="0.35">
      <c r="A31" s="227"/>
      <c r="B31" s="228"/>
      <c r="C31" s="233"/>
      <c r="D31" s="234"/>
    </row>
    <row r="32" spans="1:7" ht="20.5" x14ac:dyDescent="0.35">
      <c r="A32" s="227"/>
      <c r="B32" s="228"/>
      <c r="C32" s="233"/>
      <c r="D32" s="234"/>
    </row>
    <row r="33" spans="1:6" ht="20.5" x14ac:dyDescent="0.35">
      <c r="A33" s="227"/>
      <c r="B33" s="228"/>
      <c r="C33" s="233"/>
      <c r="D33" s="234"/>
    </row>
    <row r="34" spans="1:6" ht="20.5" x14ac:dyDescent="0.35">
      <c r="A34" s="227"/>
      <c r="B34" s="228"/>
      <c r="C34" s="6"/>
      <c r="D34" s="235"/>
    </row>
    <row r="35" spans="1:6" ht="20.5" x14ac:dyDescent="0.35">
      <c r="A35" s="227"/>
      <c r="B35" s="228"/>
      <c r="C35" s="6"/>
      <c r="D35" s="235"/>
    </row>
    <row r="36" spans="1:6" ht="20.5" x14ac:dyDescent="0.35">
      <c r="A36" s="227"/>
      <c r="B36" s="228"/>
      <c r="C36" s="6"/>
      <c r="D36" s="235"/>
    </row>
    <row r="37" spans="1:6" ht="20.5" x14ac:dyDescent="0.35">
      <c r="A37" s="236" t="s">
        <v>30</v>
      </c>
      <c r="B37" s="5" t="s">
        <v>82</v>
      </c>
      <c r="C37" s="5" t="s">
        <v>31</v>
      </c>
      <c r="D37" s="237" t="s">
        <v>133</v>
      </c>
      <c r="F37" s="6" t="s">
        <v>128</v>
      </c>
    </row>
    <row r="38" spans="1:6" ht="20.5" x14ac:dyDescent="0.35">
      <c r="A38" s="238"/>
      <c r="B38" s="6"/>
      <c r="C38" s="6"/>
      <c r="D38" s="239"/>
    </row>
    <row r="39" spans="1:6" ht="20.5" x14ac:dyDescent="0.35">
      <c r="A39" s="238"/>
      <c r="B39" s="6"/>
      <c r="C39" s="6"/>
      <c r="D39" s="239"/>
    </row>
    <row r="40" spans="1:6" ht="20.5" x14ac:dyDescent="0.35">
      <c r="A40" s="227"/>
      <c r="B40" s="228"/>
      <c r="C40" s="6"/>
      <c r="D40" s="235"/>
    </row>
    <row r="41" spans="1:6" ht="20.5" x14ac:dyDescent="0.35">
      <c r="A41" s="227"/>
      <c r="B41" s="228"/>
      <c r="C41" s="6"/>
      <c r="D41" s="235"/>
    </row>
    <row r="42" spans="1:6" ht="20.5" x14ac:dyDescent="0.35">
      <c r="A42" s="227"/>
      <c r="B42" s="228"/>
      <c r="C42" s="6"/>
      <c r="D42" s="235"/>
    </row>
    <row r="43" spans="1:6" ht="20.5" x14ac:dyDescent="0.35">
      <c r="A43" s="240"/>
      <c r="B43" s="228"/>
      <c r="C43" s="6" t="s">
        <v>142</v>
      </c>
      <c r="D43" s="235"/>
    </row>
    <row r="44" spans="1:6" ht="20.5" x14ac:dyDescent="0.35">
      <c r="A44" s="240" t="s">
        <v>134</v>
      </c>
      <c r="B44" s="241"/>
      <c r="C44" s="241" t="s">
        <v>32</v>
      </c>
      <c r="D44" s="242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4.5" x14ac:dyDescent="0.35"/>
  <cols>
    <col min="1" max="1" width="9" customWidth="1"/>
    <col min="2" max="2" width="11.54296875" customWidth="1"/>
    <col min="3" max="3" width="14" bestFit="1" customWidth="1"/>
    <col min="8" max="8" width="11.453125" bestFit="1" customWidth="1"/>
    <col min="9" max="9" width="11.81640625" customWidth="1"/>
    <col min="10" max="10" width="9.453125" bestFit="1" customWidth="1"/>
    <col min="11" max="11" width="5.453125" customWidth="1"/>
    <col min="12" max="12" width="6.453125" bestFit="1" customWidth="1"/>
  </cols>
  <sheetData>
    <row r="1" spans="1:13" ht="21.5" thickBot="1" x14ac:dyDescent="0.4">
      <c r="A1" s="9"/>
      <c r="B1" s="9"/>
      <c r="C1" s="314" t="s">
        <v>34</v>
      </c>
      <c r="D1" s="315"/>
      <c r="E1" s="316"/>
      <c r="F1" s="10"/>
      <c r="G1" s="11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11"/>
      <c r="H2" s="317" t="s">
        <v>35</v>
      </c>
      <c r="I2" s="317"/>
      <c r="J2" s="317"/>
      <c r="K2" s="317"/>
      <c r="L2" s="317"/>
      <c r="M2" s="9"/>
    </row>
    <row r="3" spans="1:13" ht="52.5" thickBot="1" x14ac:dyDescent="0.4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" thickBot="1" x14ac:dyDescent="0.4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3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3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3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3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3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3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3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3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3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3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3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3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3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3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3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3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3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3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3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3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3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3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3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3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3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3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3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3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3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3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3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3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3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3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3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3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3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3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3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3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3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3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3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3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3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3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3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3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3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3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3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3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3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3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3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3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3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3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3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3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3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3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3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3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3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3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3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3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3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3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3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3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3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3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3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3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3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3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3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3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3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3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3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3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3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3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3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3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3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3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3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3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3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3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3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3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3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3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3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3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3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3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3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3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3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3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3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3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3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3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3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3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3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3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3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3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3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3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3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3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3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3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3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3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3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3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3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3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3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3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3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3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3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3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3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3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3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3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3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3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3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3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3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3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3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3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3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3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3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3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3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3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3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3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3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3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3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3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3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3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3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3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3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3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3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3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3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3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3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3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3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3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3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3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3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3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3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3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3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3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3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3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3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3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3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3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3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3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3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3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3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3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3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3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3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3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3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3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3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3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3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3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3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3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3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3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3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3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3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3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3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3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3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4"/>
  <sheetViews>
    <sheetView zoomScale="66" zoomScaleNormal="66" workbookViewId="0">
      <pane xSplit="12" ySplit="4" topLeftCell="M29" activePane="bottomRight" state="frozen"/>
      <selection pane="topRight" activeCell="M1" sqref="M1"/>
      <selection pane="bottomLeft" activeCell="A5" sqref="A5"/>
      <selection pane="bottomRight" sqref="A1:L32"/>
    </sheetView>
  </sheetViews>
  <sheetFormatPr defaultRowHeight="21" x14ac:dyDescent="0.5"/>
  <cols>
    <col min="1" max="1" width="24.453125" style="244" customWidth="1"/>
    <col min="2" max="2" width="18.1796875" style="47" customWidth="1"/>
    <col min="3" max="3" width="31.453125" style="400" bestFit="1" customWidth="1"/>
    <col min="4" max="4" width="24" style="300" customWidth="1"/>
    <col min="5" max="5" width="19.453125" style="162" customWidth="1"/>
    <col min="6" max="6" width="17.54296875" style="162" customWidth="1"/>
    <col min="7" max="7" width="24.90625" style="399" customWidth="1"/>
    <col min="8" max="8" width="25.453125" style="162" customWidth="1"/>
    <col min="9" max="9" width="13.453125" customWidth="1"/>
    <col min="10" max="10" width="13.26953125" customWidth="1"/>
    <col min="11" max="11" width="13.1796875" customWidth="1"/>
    <col min="12" max="12" width="14.81640625" style="244" customWidth="1"/>
  </cols>
  <sheetData>
    <row r="1" spans="1:12" s="121" customFormat="1" ht="20" x14ac:dyDescent="0.35">
      <c r="A1" s="318" t="s">
        <v>8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</row>
    <row r="2" spans="1:12" s="121" customFormat="1" ht="20" x14ac:dyDescent="0.35">
      <c r="A2" s="274"/>
      <c r="B2" s="1"/>
      <c r="C2" s="224"/>
      <c r="D2" s="275"/>
      <c r="E2" s="275"/>
      <c r="F2" s="275"/>
      <c r="G2" s="318" t="s">
        <v>35</v>
      </c>
      <c r="H2" s="318"/>
      <c r="I2" s="318"/>
      <c r="J2" s="318"/>
      <c r="K2" s="318"/>
      <c r="L2" s="7"/>
    </row>
    <row r="3" spans="1:12" s="121" customFormat="1" ht="40" x14ac:dyDescent="0.35">
      <c r="A3" s="276" t="s">
        <v>36</v>
      </c>
      <c r="B3" s="224" t="s">
        <v>37</v>
      </c>
      <c r="C3" s="224" t="s">
        <v>38</v>
      </c>
      <c r="D3" s="224" t="s">
        <v>39</v>
      </c>
      <c r="E3" s="224" t="s">
        <v>48</v>
      </c>
      <c r="F3" s="224" t="s">
        <v>49</v>
      </c>
      <c r="G3" s="224" t="s">
        <v>116</v>
      </c>
      <c r="H3" s="224" t="s">
        <v>50</v>
      </c>
      <c r="I3" s="224" t="s">
        <v>45</v>
      </c>
      <c r="J3" s="224" t="s">
        <v>46</v>
      </c>
      <c r="K3" s="224" t="s">
        <v>47</v>
      </c>
      <c r="L3" s="8" t="s">
        <v>23</v>
      </c>
    </row>
    <row r="4" spans="1:12" s="121" customFormat="1" ht="20" x14ac:dyDescent="0.35">
      <c r="A4" s="277"/>
      <c r="B4" s="278"/>
      <c r="C4" s="292"/>
      <c r="D4" s="278">
        <f>SUM(D5:D96)</f>
        <v>2054</v>
      </c>
      <c r="E4" s="278">
        <f>SUM(E5:E11)</f>
        <v>0</v>
      </c>
      <c r="F4" s="278">
        <f>SUM(F5:F96)</f>
        <v>9860</v>
      </c>
      <c r="G4" s="278">
        <f>SUM(G5:G99)</f>
        <v>0</v>
      </c>
      <c r="H4" s="278">
        <f>SUM(H5:H96)</f>
        <v>2860</v>
      </c>
      <c r="I4" s="278">
        <f>SUM(I5:I11)</f>
        <v>0</v>
      </c>
      <c r="J4" s="278">
        <f>SUM(J5:J109)</f>
        <v>0</v>
      </c>
      <c r="K4" s="278">
        <f>SUM(K5:K11)</f>
        <v>0</v>
      </c>
      <c r="L4" s="279">
        <f>SUM(E4,F4,G4,H4,I4,J4,)</f>
        <v>12720</v>
      </c>
    </row>
    <row r="5" spans="1:12" s="291" customFormat="1" ht="46.5" customHeight="1" x14ac:dyDescent="0.5">
      <c r="A5" s="280">
        <v>46043</v>
      </c>
      <c r="B5" s="401" t="s">
        <v>204</v>
      </c>
      <c r="C5" s="306" t="s">
        <v>168</v>
      </c>
      <c r="D5" s="307">
        <v>16</v>
      </c>
      <c r="E5" s="402"/>
      <c r="F5" s="281">
        <v>40</v>
      </c>
      <c r="G5" s="290" t="s">
        <v>125</v>
      </c>
      <c r="H5" s="290">
        <v>40</v>
      </c>
      <c r="I5" s="7"/>
      <c r="J5" s="7"/>
      <c r="K5" s="7"/>
      <c r="L5" s="281">
        <f>SUM(F5:H5)</f>
        <v>80</v>
      </c>
    </row>
    <row r="6" spans="1:12" s="291" customFormat="1" ht="34.5" customHeight="1" x14ac:dyDescent="0.5">
      <c r="A6" s="280">
        <v>46043</v>
      </c>
      <c r="B6" s="401" t="s">
        <v>206</v>
      </c>
      <c r="C6" s="306" t="s">
        <v>169</v>
      </c>
      <c r="D6" s="307">
        <v>221</v>
      </c>
      <c r="E6" s="402"/>
      <c r="F6" s="394">
        <v>2320</v>
      </c>
      <c r="G6" s="395" t="s">
        <v>174</v>
      </c>
      <c r="H6" s="395">
        <v>450</v>
      </c>
      <c r="I6" s="7"/>
      <c r="J6" s="7"/>
      <c r="K6" s="7"/>
      <c r="L6" s="281">
        <f t="shared" ref="L6:L32" si="0">SUM(F6:H6)</f>
        <v>2770</v>
      </c>
    </row>
    <row r="7" spans="1:12" s="291" customFormat="1" ht="34.5" customHeight="1" x14ac:dyDescent="0.5">
      <c r="A7" s="280">
        <v>46043</v>
      </c>
      <c r="B7" s="401" t="s">
        <v>208</v>
      </c>
      <c r="C7" s="306" t="s">
        <v>170</v>
      </c>
      <c r="D7" s="307">
        <v>40</v>
      </c>
      <c r="E7" s="402"/>
      <c r="F7" s="394"/>
      <c r="G7" s="395"/>
      <c r="H7" s="395"/>
      <c r="I7" s="7"/>
      <c r="J7" s="7"/>
      <c r="K7" s="7"/>
      <c r="L7" s="281">
        <f t="shared" si="0"/>
        <v>0</v>
      </c>
    </row>
    <row r="8" spans="1:12" s="291" customFormat="1" ht="34.5" customHeight="1" x14ac:dyDescent="0.5">
      <c r="A8" s="280">
        <v>46043</v>
      </c>
      <c r="B8" s="401" t="s">
        <v>210</v>
      </c>
      <c r="C8" s="306" t="s">
        <v>171</v>
      </c>
      <c r="D8" s="307">
        <v>27</v>
      </c>
      <c r="E8" s="402"/>
      <c r="F8" s="394"/>
      <c r="G8" s="395"/>
      <c r="H8" s="395"/>
      <c r="I8" s="7"/>
      <c r="J8" s="7"/>
      <c r="K8" s="7"/>
      <c r="L8" s="281">
        <f t="shared" si="0"/>
        <v>0</v>
      </c>
    </row>
    <row r="9" spans="1:12" s="291" customFormat="1" ht="34.5" customHeight="1" x14ac:dyDescent="0.5">
      <c r="A9" s="280">
        <v>46043</v>
      </c>
      <c r="B9" s="401" t="s">
        <v>209</v>
      </c>
      <c r="C9" s="306" t="s">
        <v>167</v>
      </c>
      <c r="D9" s="307">
        <v>80</v>
      </c>
      <c r="E9" s="402"/>
      <c r="F9" s="394"/>
      <c r="G9" s="395"/>
      <c r="H9" s="395"/>
      <c r="I9" s="7"/>
      <c r="J9" s="7"/>
      <c r="K9" s="7"/>
      <c r="L9" s="281">
        <f t="shared" si="0"/>
        <v>0</v>
      </c>
    </row>
    <row r="10" spans="1:12" s="296" customFormat="1" ht="49.5" customHeight="1" x14ac:dyDescent="0.5">
      <c r="A10" s="293">
        <v>46043</v>
      </c>
      <c r="B10" s="403" t="s">
        <v>212</v>
      </c>
      <c r="C10" s="404" t="s">
        <v>172</v>
      </c>
      <c r="D10" s="405">
        <v>90</v>
      </c>
      <c r="E10" s="406"/>
      <c r="F10" s="294">
        <v>230</v>
      </c>
      <c r="G10" s="294" t="s">
        <v>175</v>
      </c>
      <c r="H10" s="294">
        <v>20</v>
      </c>
      <c r="I10" s="295"/>
      <c r="J10" s="295"/>
      <c r="K10" s="295"/>
      <c r="L10" s="281">
        <f t="shared" si="0"/>
        <v>250</v>
      </c>
    </row>
    <row r="11" spans="1:12" s="291" customFormat="1" ht="34.5" customHeight="1" x14ac:dyDescent="0.5">
      <c r="A11" s="280">
        <v>46043</v>
      </c>
      <c r="B11" s="401" t="s">
        <v>214</v>
      </c>
      <c r="C11" s="306" t="s">
        <v>173</v>
      </c>
      <c r="D11" s="307">
        <v>29</v>
      </c>
      <c r="E11" s="402"/>
      <c r="F11" s="281">
        <v>50</v>
      </c>
      <c r="G11" s="281" t="s">
        <v>176</v>
      </c>
      <c r="H11" s="281">
        <v>20</v>
      </c>
      <c r="I11" s="7"/>
      <c r="J11" s="7"/>
      <c r="K11" s="7"/>
      <c r="L11" s="281">
        <f t="shared" si="0"/>
        <v>70</v>
      </c>
    </row>
    <row r="12" spans="1:12" s="296" customFormat="1" ht="51" customHeight="1" x14ac:dyDescent="0.5">
      <c r="A12" s="293">
        <v>46044</v>
      </c>
      <c r="B12" s="404" t="s">
        <v>216</v>
      </c>
      <c r="C12" s="404" t="s">
        <v>178</v>
      </c>
      <c r="D12" s="405">
        <v>39</v>
      </c>
      <c r="E12" s="294"/>
      <c r="F12" s="294">
        <v>480</v>
      </c>
      <c r="G12" s="294" t="s">
        <v>127</v>
      </c>
      <c r="H12" s="295">
        <v>220</v>
      </c>
      <c r="I12" s="295"/>
      <c r="J12" s="295"/>
      <c r="K12" s="295"/>
      <c r="L12" s="294">
        <f t="shared" si="0"/>
        <v>700</v>
      </c>
    </row>
    <row r="13" spans="1:12" s="291" customFormat="1" ht="55" customHeight="1" x14ac:dyDescent="0.5">
      <c r="A13" s="280">
        <v>46046</v>
      </c>
      <c r="B13" s="306" t="s">
        <v>218</v>
      </c>
      <c r="C13" s="306" t="s">
        <v>179</v>
      </c>
      <c r="D13" s="307">
        <v>26</v>
      </c>
      <c r="F13" s="394">
        <v>850</v>
      </c>
      <c r="G13" s="394" t="s">
        <v>164</v>
      </c>
      <c r="H13" s="396">
        <v>200</v>
      </c>
      <c r="I13" s="7"/>
      <c r="J13" s="7"/>
      <c r="K13" s="7"/>
      <c r="L13" s="281">
        <f t="shared" si="0"/>
        <v>1050</v>
      </c>
    </row>
    <row r="14" spans="1:12" s="291" customFormat="1" ht="32.25" customHeight="1" x14ac:dyDescent="0.5">
      <c r="A14" s="280">
        <v>46046</v>
      </c>
      <c r="B14" s="306" t="s">
        <v>219</v>
      </c>
      <c r="C14" s="306" t="s">
        <v>180</v>
      </c>
      <c r="D14" s="307">
        <v>80</v>
      </c>
      <c r="F14" s="394"/>
      <c r="G14" s="394"/>
      <c r="H14" s="396"/>
      <c r="I14" s="7"/>
      <c r="J14" s="7"/>
      <c r="K14" s="7"/>
      <c r="L14" s="281">
        <f t="shared" si="0"/>
        <v>0</v>
      </c>
    </row>
    <row r="15" spans="1:12" s="296" customFormat="1" ht="36" customHeight="1" x14ac:dyDescent="0.5">
      <c r="A15" s="293">
        <v>46047</v>
      </c>
      <c r="B15" s="404" t="s">
        <v>221</v>
      </c>
      <c r="C15" s="404" t="s">
        <v>181</v>
      </c>
      <c r="D15" s="405">
        <v>210</v>
      </c>
      <c r="F15" s="294">
        <v>1210</v>
      </c>
      <c r="G15" s="294" t="s">
        <v>164</v>
      </c>
      <c r="H15" s="295">
        <v>260</v>
      </c>
      <c r="I15" s="295"/>
      <c r="J15" s="295"/>
      <c r="K15" s="295"/>
      <c r="L15" s="294">
        <f>SUM(F15:H15)</f>
        <v>1470</v>
      </c>
    </row>
    <row r="16" spans="1:12" s="291" customFormat="1" ht="48.75" customHeight="1" x14ac:dyDescent="0.5">
      <c r="A16" s="280">
        <v>46047</v>
      </c>
      <c r="B16" s="305" t="s">
        <v>186</v>
      </c>
      <c r="C16" s="306" t="s">
        <v>172</v>
      </c>
      <c r="D16" s="307">
        <v>15</v>
      </c>
      <c r="F16" s="281">
        <v>20</v>
      </c>
      <c r="G16" s="281" t="s">
        <v>182</v>
      </c>
      <c r="H16" s="7">
        <v>20</v>
      </c>
      <c r="I16" s="7"/>
      <c r="J16" s="7"/>
      <c r="K16" s="7"/>
      <c r="L16" s="281">
        <f t="shared" si="0"/>
        <v>40</v>
      </c>
    </row>
    <row r="17" spans="1:12" s="291" customFormat="1" ht="45.5" customHeight="1" x14ac:dyDescent="0.5">
      <c r="A17" s="280">
        <v>46047</v>
      </c>
      <c r="B17" s="305" t="s">
        <v>223</v>
      </c>
      <c r="C17" s="306" t="s">
        <v>183</v>
      </c>
      <c r="D17" s="307">
        <v>13</v>
      </c>
      <c r="F17" s="281">
        <v>100</v>
      </c>
      <c r="G17" s="281" t="s">
        <v>182</v>
      </c>
      <c r="H17" s="7">
        <v>100</v>
      </c>
      <c r="I17" s="7"/>
      <c r="J17" s="7"/>
      <c r="K17" s="7"/>
      <c r="L17" s="281">
        <f t="shared" si="0"/>
        <v>200</v>
      </c>
    </row>
    <row r="18" spans="1:12" s="291" customFormat="1" ht="27.75" customHeight="1" x14ac:dyDescent="0.5">
      <c r="A18" s="280">
        <v>46047</v>
      </c>
      <c r="B18" s="305">
        <v>98788</v>
      </c>
      <c r="C18" s="306" t="s">
        <v>173</v>
      </c>
      <c r="D18" s="307">
        <v>43</v>
      </c>
      <c r="E18" s="281"/>
      <c r="F18" s="281">
        <v>100</v>
      </c>
      <c r="G18" s="281" t="s">
        <v>182</v>
      </c>
      <c r="H18" s="7">
        <v>20</v>
      </c>
      <c r="I18" s="7"/>
      <c r="J18" s="7"/>
      <c r="K18" s="7"/>
      <c r="L18" s="281">
        <f t="shared" si="0"/>
        <v>120</v>
      </c>
    </row>
    <row r="19" spans="1:12" s="296" customFormat="1" ht="45" customHeight="1" x14ac:dyDescent="0.5">
      <c r="A19" s="293">
        <v>46048</v>
      </c>
      <c r="B19" s="407" t="s">
        <v>225</v>
      </c>
      <c r="C19" s="404" t="s">
        <v>184</v>
      </c>
      <c r="D19" s="405">
        <v>282</v>
      </c>
      <c r="E19" s="294"/>
      <c r="F19" s="294">
        <v>1180</v>
      </c>
      <c r="G19" s="294" t="s">
        <v>174</v>
      </c>
      <c r="H19" s="295">
        <v>350</v>
      </c>
      <c r="I19" s="295"/>
      <c r="J19" s="295"/>
      <c r="K19" s="295"/>
      <c r="L19" s="294">
        <f t="shared" si="0"/>
        <v>1530</v>
      </c>
    </row>
    <row r="20" spans="1:12" s="291" customFormat="1" ht="42" customHeight="1" x14ac:dyDescent="0.5">
      <c r="A20" s="280">
        <v>46048</v>
      </c>
      <c r="B20" s="305" t="s">
        <v>227</v>
      </c>
      <c r="C20" s="306" t="s">
        <v>185</v>
      </c>
      <c r="D20" s="307">
        <v>26</v>
      </c>
      <c r="E20" s="281"/>
      <c r="F20" s="281">
        <v>300</v>
      </c>
      <c r="G20" s="281" t="s">
        <v>127</v>
      </c>
      <c r="H20" s="7">
        <v>200</v>
      </c>
      <c r="I20" s="7"/>
      <c r="J20" s="7"/>
      <c r="K20" s="7"/>
      <c r="L20" s="281">
        <f t="shared" si="0"/>
        <v>500</v>
      </c>
    </row>
    <row r="21" spans="1:12" s="291" customFormat="1" ht="41.5" customHeight="1" x14ac:dyDescent="0.5">
      <c r="A21" s="280">
        <v>46049</v>
      </c>
      <c r="B21" s="305">
        <v>98893</v>
      </c>
      <c r="C21" s="306" t="s">
        <v>183</v>
      </c>
      <c r="D21" s="286">
        <v>32</v>
      </c>
      <c r="E21" s="281"/>
      <c r="F21" s="281">
        <v>200</v>
      </c>
      <c r="G21" s="281" t="s">
        <v>127</v>
      </c>
      <c r="H21" s="7">
        <v>100</v>
      </c>
      <c r="I21" s="287"/>
      <c r="J21" s="7"/>
      <c r="K21" s="288"/>
      <c r="L21" s="281">
        <f t="shared" si="0"/>
        <v>300</v>
      </c>
    </row>
    <row r="22" spans="1:12" s="291" customFormat="1" ht="47" customHeight="1" x14ac:dyDescent="0.5">
      <c r="A22" s="280">
        <v>46049</v>
      </c>
      <c r="B22" s="305">
        <v>98917</v>
      </c>
      <c r="C22" s="306" t="s">
        <v>194</v>
      </c>
      <c r="D22" s="307">
        <v>353</v>
      </c>
      <c r="E22" s="281"/>
      <c r="F22" s="394">
        <v>300</v>
      </c>
      <c r="G22" s="394" t="s">
        <v>174</v>
      </c>
      <c r="H22" s="396">
        <v>60</v>
      </c>
      <c r="I22" s="288"/>
      <c r="J22" s="7"/>
      <c r="K22" s="288"/>
      <c r="L22" s="281">
        <f t="shared" si="0"/>
        <v>360</v>
      </c>
    </row>
    <row r="23" spans="1:12" s="291" customFormat="1" ht="51.75" customHeight="1" x14ac:dyDescent="0.5">
      <c r="A23" s="280">
        <v>46049</v>
      </c>
      <c r="B23" s="305">
        <v>98936</v>
      </c>
      <c r="C23" s="306" t="s">
        <v>195</v>
      </c>
      <c r="D23" s="307">
        <v>46</v>
      </c>
      <c r="E23" s="281"/>
      <c r="F23" s="394"/>
      <c r="G23" s="394"/>
      <c r="H23" s="396"/>
      <c r="I23" s="288"/>
      <c r="J23" s="288"/>
      <c r="K23" s="288"/>
      <c r="L23" s="281">
        <f t="shared" si="0"/>
        <v>0</v>
      </c>
    </row>
    <row r="24" spans="1:12" s="296" customFormat="1" ht="53.25" customHeight="1" x14ac:dyDescent="0.5">
      <c r="A24" s="293">
        <v>46050</v>
      </c>
      <c r="B24" s="407" t="s">
        <v>230</v>
      </c>
      <c r="C24" s="404" t="s">
        <v>193</v>
      </c>
      <c r="D24" s="409">
        <v>183</v>
      </c>
      <c r="E24" s="294"/>
      <c r="F24" s="294">
        <v>1160</v>
      </c>
      <c r="G24" s="294" t="s">
        <v>127</v>
      </c>
      <c r="H24" s="295">
        <v>260</v>
      </c>
      <c r="I24" s="410"/>
      <c r="J24" s="410"/>
      <c r="K24" s="410"/>
      <c r="L24" s="294">
        <f t="shared" si="0"/>
        <v>1420</v>
      </c>
    </row>
    <row r="25" spans="1:12" s="291" customFormat="1" ht="55.5" customHeight="1" x14ac:dyDescent="0.5">
      <c r="A25" s="280">
        <v>46051</v>
      </c>
      <c r="B25" s="305" t="s">
        <v>197</v>
      </c>
      <c r="C25" s="306" t="s">
        <v>173</v>
      </c>
      <c r="D25" s="307">
        <v>80</v>
      </c>
      <c r="E25" s="281"/>
      <c r="F25" s="394">
        <v>180</v>
      </c>
      <c r="G25" s="408" t="s">
        <v>164</v>
      </c>
      <c r="H25" s="396">
        <v>20</v>
      </c>
      <c r="I25" s="288"/>
      <c r="J25" s="288"/>
      <c r="K25" s="288"/>
      <c r="L25" s="281">
        <f t="shared" si="0"/>
        <v>200</v>
      </c>
    </row>
    <row r="26" spans="1:12" s="291" customFormat="1" ht="51.75" customHeight="1" x14ac:dyDescent="0.5">
      <c r="A26" s="280">
        <v>46051</v>
      </c>
      <c r="B26" s="305" t="s">
        <v>198</v>
      </c>
      <c r="C26" s="306" t="s">
        <v>173</v>
      </c>
      <c r="D26" s="307">
        <v>26</v>
      </c>
      <c r="E26" s="281"/>
      <c r="F26" s="394"/>
      <c r="G26" s="408"/>
      <c r="H26" s="396"/>
      <c r="I26" s="288"/>
      <c r="J26" s="288"/>
      <c r="K26" s="288"/>
      <c r="L26" s="281">
        <f t="shared" si="0"/>
        <v>0</v>
      </c>
    </row>
    <row r="27" spans="1:12" s="291" customFormat="1" ht="51" customHeight="1" x14ac:dyDescent="0.5">
      <c r="A27" s="280">
        <v>46051</v>
      </c>
      <c r="B27" s="305" t="s">
        <v>232</v>
      </c>
      <c r="C27" s="306" t="s">
        <v>185</v>
      </c>
      <c r="D27" s="286">
        <v>26</v>
      </c>
      <c r="E27" s="281"/>
      <c r="F27" s="394">
        <v>450</v>
      </c>
      <c r="G27" s="394" t="s">
        <v>127</v>
      </c>
      <c r="H27" s="396">
        <v>200</v>
      </c>
      <c r="I27" s="288"/>
      <c r="J27" s="288"/>
      <c r="K27" s="288"/>
      <c r="L27" s="281">
        <f t="shared" si="0"/>
        <v>650</v>
      </c>
    </row>
    <row r="28" spans="1:12" s="291" customFormat="1" ht="53" customHeight="1" x14ac:dyDescent="0.5">
      <c r="A28" s="280">
        <v>46051</v>
      </c>
      <c r="B28" s="305" t="s">
        <v>234</v>
      </c>
      <c r="C28" s="306" t="s">
        <v>199</v>
      </c>
      <c r="D28" s="286">
        <v>4</v>
      </c>
      <c r="E28" s="281"/>
      <c r="F28" s="394"/>
      <c r="G28" s="394"/>
      <c r="H28" s="396"/>
      <c r="I28" s="288"/>
      <c r="J28" s="288"/>
      <c r="K28" s="288"/>
      <c r="L28" s="281">
        <f t="shared" si="0"/>
        <v>0</v>
      </c>
    </row>
    <row r="29" spans="1:12" s="291" customFormat="1" x14ac:dyDescent="0.5">
      <c r="A29" s="280">
        <v>46053</v>
      </c>
      <c r="B29" s="305" t="s">
        <v>236</v>
      </c>
      <c r="C29" s="306" t="s">
        <v>202</v>
      </c>
      <c r="D29" s="307">
        <v>26</v>
      </c>
      <c r="E29" s="281"/>
      <c r="F29" s="394">
        <v>560</v>
      </c>
      <c r="G29" s="394" t="s">
        <v>127</v>
      </c>
      <c r="H29" s="396">
        <v>220</v>
      </c>
      <c r="I29" s="288"/>
      <c r="J29" s="288"/>
      <c r="K29" s="288"/>
      <c r="L29" s="281">
        <f t="shared" si="0"/>
        <v>780</v>
      </c>
    </row>
    <row r="30" spans="1:12" s="291" customFormat="1" ht="30" customHeight="1" x14ac:dyDescent="0.5">
      <c r="A30" s="280">
        <v>46053</v>
      </c>
      <c r="B30" s="305" t="s">
        <v>237</v>
      </c>
      <c r="C30" s="306" t="s">
        <v>203</v>
      </c>
      <c r="D30" s="307">
        <v>13</v>
      </c>
      <c r="E30" s="281"/>
      <c r="F30" s="394"/>
      <c r="G30" s="394"/>
      <c r="H30" s="396"/>
      <c r="I30" s="288"/>
      <c r="J30" s="288"/>
      <c r="K30" s="288"/>
      <c r="L30" s="281">
        <f t="shared" si="0"/>
        <v>0</v>
      </c>
    </row>
    <row r="31" spans="1:12" s="291" customFormat="1" ht="40" x14ac:dyDescent="0.5">
      <c r="A31" s="280">
        <v>46053</v>
      </c>
      <c r="B31" s="305">
        <v>99185</v>
      </c>
      <c r="C31" s="306" t="s">
        <v>183</v>
      </c>
      <c r="D31" s="307">
        <v>2</v>
      </c>
      <c r="E31" s="281"/>
      <c r="F31" s="281">
        <v>80</v>
      </c>
      <c r="G31" s="281" t="s">
        <v>164</v>
      </c>
      <c r="H31" s="7">
        <v>80</v>
      </c>
      <c r="I31" s="288"/>
      <c r="J31" s="288"/>
      <c r="K31" s="288"/>
      <c r="L31" s="281">
        <f t="shared" si="0"/>
        <v>160</v>
      </c>
    </row>
    <row r="32" spans="1:12" s="291" customFormat="1" ht="43" customHeight="1" x14ac:dyDescent="0.5">
      <c r="A32" s="280">
        <v>46053</v>
      </c>
      <c r="B32" s="305">
        <v>99188</v>
      </c>
      <c r="C32" s="306" t="s">
        <v>173</v>
      </c>
      <c r="D32" s="307">
        <v>26</v>
      </c>
      <c r="E32" s="281"/>
      <c r="F32" s="281">
        <v>50</v>
      </c>
      <c r="G32" s="281" t="s">
        <v>164</v>
      </c>
      <c r="H32" s="7">
        <v>20</v>
      </c>
      <c r="I32" s="288"/>
      <c r="J32" s="288"/>
      <c r="K32" s="288"/>
      <c r="L32" s="281">
        <f t="shared" si="0"/>
        <v>70</v>
      </c>
    </row>
    <row r="33" spans="1:12" s="285" customFormat="1" ht="20" x14ac:dyDescent="0.35">
      <c r="A33" s="257"/>
      <c r="B33" s="264"/>
      <c r="C33" s="264"/>
      <c r="D33" s="301"/>
      <c r="E33" s="265"/>
      <c r="F33" s="265"/>
      <c r="G33" s="308"/>
      <c r="H33" s="266"/>
      <c r="I33" s="267"/>
      <c r="J33" s="268"/>
      <c r="K33" s="268"/>
      <c r="L33" s="289"/>
    </row>
    <row r="34" spans="1:12" s="285" customFormat="1" ht="20" x14ac:dyDescent="0.35">
      <c r="A34" s="257"/>
      <c r="B34" s="264"/>
      <c r="C34" s="264"/>
      <c r="D34" s="301"/>
      <c r="E34" s="265"/>
      <c r="F34" s="265"/>
      <c r="G34" s="308"/>
      <c r="H34" s="269"/>
      <c r="I34" s="267"/>
      <c r="J34" s="268"/>
      <c r="K34" s="268"/>
      <c r="L34" s="289"/>
    </row>
    <row r="35" spans="1:12" s="285" customFormat="1" ht="20" x14ac:dyDescent="0.4">
      <c r="A35" s="257"/>
      <c r="B35" s="264"/>
      <c r="C35" s="264"/>
      <c r="D35" s="297"/>
      <c r="E35" s="265"/>
      <c r="F35" s="265"/>
      <c r="G35" s="308"/>
      <c r="H35" s="266"/>
      <c r="I35" s="267"/>
      <c r="J35" s="268"/>
      <c r="K35" s="268"/>
      <c r="L35" s="289"/>
    </row>
    <row r="36" spans="1:12" s="285" customFormat="1" ht="20" x14ac:dyDescent="0.4">
      <c r="A36" s="257"/>
      <c r="B36" s="264"/>
      <c r="C36" s="264"/>
      <c r="D36" s="297"/>
      <c r="E36" s="265"/>
      <c r="F36" s="265"/>
      <c r="G36" s="308"/>
      <c r="H36" s="269"/>
      <c r="I36" s="267"/>
      <c r="J36" s="268"/>
      <c r="K36" s="268"/>
      <c r="L36" s="289"/>
    </row>
    <row r="37" spans="1:12" s="285" customFormat="1" ht="20" x14ac:dyDescent="0.4">
      <c r="A37" s="257"/>
      <c r="B37" s="264"/>
      <c r="C37" s="264"/>
      <c r="D37" s="297"/>
      <c r="E37" s="265"/>
      <c r="F37" s="265"/>
      <c r="G37" s="308"/>
      <c r="H37" s="266"/>
      <c r="I37" s="267"/>
      <c r="J37" s="268"/>
      <c r="K37" s="268"/>
      <c r="L37" s="289"/>
    </row>
    <row r="38" spans="1:12" s="285" customFormat="1" ht="20" x14ac:dyDescent="0.4">
      <c r="A38" s="257"/>
      <c r="B38" s="264"/>
      <c r="C38" s="264"/>
      <c r="D38" s="297"/>
      <c r="E38" s="265"/>
      <c r="F38" s="265"/>
      <c r="G38" s="308"/>
      <c r="H38" s="266"/>
      <c r="I38" s="267"/>
      <c r="J38" s="268"/>
      <c r="K38" s="268"/>
      <c r="L38" s="289"/>
    </row>
    <row r="39" spans="1:12" s="285" customFormat="1" ht="20" x14ac:dyDescent="0.4">
      <c r="A39" s="257"/>
      <c r="B39" s="264"/>
      <c r="C39" s="264"/>
      <c r="D39" s="297"/>
      <c r="E39" s="265"/>
      <c r="F39" s="265"/>
      <c r="G39" s="308"/>
      <c r="H39" s="266"/>
      <c r="I39" s="267"/>
      <c r="J39" s="268"/>
      <c r="K39" s="268"/>
      <c r="L39" s="289"/>
    </row>
    <row r="40" spans="1:12" s="285" customFormat="1" ht="20" x14ac:dyDescent="0.4">
      <c r="A40" s="257"/>
      <c r="B40" s="264"/>
      <c r="C40" s="264"/>
      <c r="D40" s="297"/>
      <c r="E40" s="265"/>
      <c r="F40" s="265"/>
      <c r="G40" s="308"/>
      <c r="H40" s="266"/>
      <c r="I40" s="267"/>
      <c r="J40" s="268"/>
      <c r="K40" s="268"/>
      <c r="L40" s="289"/>
    </row>
    <row r="41" spans="1:12" s="285" customFormat="1" ht="20" x14ac:dyDescent="0.4">
      <c r="A41" s="257"/>
      <c r="B41" s="264"/>
      <c r="C41" s="264"/>
      <c r="D41" s="297"/>
      <c r="E41" s="265"/>
      <c r="F41" s="265"/>
      <c r="G41" s="308"/>
      <c r="H41" s="269"/>
      <c r="I41" s="267"/>
      <c r="J41" s="268"/>
      <c r="K41" s="268"/>
      <c r="L41" s="289"/>
    </row>
    <row r="42" spans="1:12" s="285" customFormat="1" ht="20" x14ac:dyDescent="0.4">
      <c r="A42" s="257"/>
      <c r="B42" s="264"/>
      <c r="C42" s="264"/>
      <c r="D42" s="297"/>
      <c r="E42" s="265"/>
      <c r="F42" s="265"/>
      <c r="G42" s="308"/>
      <c r="H42" s="266"/>
      <c r="I42" s="267"/>
      <c r="J42" s="268"/>
      <c r="K42" s="268"/>
      <c r="L42" s="289"/>
    </row>
    <row r="43" spans="1:12" s="285" customFormat="1" ht="20" x14ac:dyDescent="0.4">
      <c r="A43" s="257"/>
      <c r="B43" s="264"/>
      <c r="C43" s="264"/>
      <c r="D43" s="297"/>
      <c r="E43" s="265"/>
      <c r="F43" s="265"/>
      <c r="G43" s="308"/>
      <c r="H43" s="266"/>
      <c r="I43" s="267"/>
      <c r="J43" s="268"/>
      <c r="K43" s="268"/>
      <c r="L43" s="258">
        <f t="shared" ref="L43:L51" si="1">SUM(F43+H43)</f>
        <v>0</v>
      </c>
    </row>
    <row r="44" spans="1:12" s="285" customFormat="1" ht="20" x14ac:dyDescent="0.4">
      <c r="A44" s="257"/>
      <c r="B44" s="264"/>
      <c r="C44" s="264"/>
      <c r="D44" s="297"/>
      <c r="E44" s="265"/>
      <c r="F44" s="265"/>
      <c r="G44" s="308"/>
      <c r="H44" s="266"/>
      <c r="I44" s="267"/>
      <c r="J44" s="268"/>
      <c r="K44" s="268"/>
      <c r="L44" s="258">
        <f t="shared" si="1"/>
        <v>0</v>
      </c>
    </row>
    <row r="45" spans="1:12" s="285" customFormat="1" ht="20" x14ac:dyDescent="0.4">
      <c r="A45" s="257"/>
      <c r="B45" s="264"/>
      <c r="C45" s="264"/>
      <c r="D45" s="297"/>
      <c r="E45" s="265"/>
      <c r="F45" s="265"/>
      <c r="G45" s="308"/>
      <c r="H45" s="266"/>
      <c r="I45" s="267"/>
      <c r="J45" s="268"/>
      <c r="K45" s="268"/>
      <c r="L45" s="258">
        <f t="shared" si="1"/>
        <v>0</v>
      </c>
    </row>
    <row r="46" spans="1:12" s="285" customFormat="1" ht="20" x14ac:dyDescent="0.4">
      <c r="A46" s="257"/>
      <c r="B46" s="264"/>
      <c r="C46" s="264"/>
      <c r="D46" s="297"/>
      <c r="E46" s="265"/>
      <c r="F46" s="265"/>
      <c r="G46" s="308"/>
      <c r="H46" s="269"/>
      <c r="I46" s="270"/>
      <c r="J46" s="269"/>
      <c r="K46" s="269"/>
      <c r="L46" s="258">
        <f t="shared" si="1"/>
        <v>0</v>
      </c>
    </row>
    <row r="47" spans="1:12" s="285" customFormat="1" ht="20" x14ac:dyDescent="0.4">
      <c r="A47" s="257"/>
      <c r="B47" s="264"/>
      <c r="C47" s="264"/>
      <c r="D47" s="297"/>
      <c r="E47" s="265"/>
      <c r="F47" s="265"/>
      <c r="G47" s="308"/>
      <c r="H47" s="269"/>
      <c r="I47" s="270"/>
      <c r="J47" s="269"/>
      <c r="K47" s="269"/>
      <c r="L47" s="258">
        <f t="shared" si="1"/>
        <v>0</v>
      </c>
    </row>
    <row r="48" spans="1:12" s="285" customFormat="1" ht="20" x14ac:dyDescent="0.4">
      <c r="A48" s="257"/>
      <c r="B48" s="264"/>
      <c r="C48" s="264"/>
      <c r="D48" s="297"/>
      <c r="E48" s="265"/>
      <c r="F48" s="265"/>
      <c r="G48" s="308"/>
      <c r="H48" s="269"/>
      <c r="I48" s="270"/>
      <c r="J48" s="269"/>
      <c r="K48" s="269"/>
      <c r="L48" s="258">
        <f t="shared" si="1"/>
        <v>0</v>
      </c>
    </row>
    <row r="49" spans="1:12" s="285" customFormat="1" ht="20" x14ac:dyDescent="0.4">
      <c r="A49" s="257"/>
      <c r="B49" s="264"/>
      <c r="C49" s="264"/>
      <c r="D49" s="297"/>
      <c r="E49" s="265"/>
      <c r="F49" s="265"/>
      <c r="G49" s="308"/>
      <c r="H49" s="269"/>
      <c r="I49" s="270"/>
      <c r="J49" s="269"/>
      <c r="K49" s="269"/>
      <c r="L49" s="258">
        <f t="shared" si="1"/>
        <v>0</v>
      </c>
    </row>
    <row r="50" spans="1:12" ht="20" x14ac:dyDescent="0.4">
      <c r="A50" s="259"/>
      <c r="B50" s="260"/>
      <c r="C50" s="260"/>
      <c r="D50" s="298"/>
      <c r="E50" s="261"/>
      <c r="F50" s="261"/>
      <c r="G50" s="397"/>
      <c r="H50" s="262"/>
      <c r="I50" s="263"/>
      <c r="J50" s="262"/>
      <c r="K50" s="262"/>
      <c r="L50" s="258">
        <f t="shared" si="1"/>
        <v>0</v>
      </c>
    </row>
    <row r="51" spans="1:12" ht="20" x14ac:dyDescent="0.4">
      <c r="A51" s="257"/>
      <c r="B51" s="33"/>
      <c r="C51" s="33"/>
      <c r="D51" s="299"/>
      <c r="E51" s="180"/>
      <c r="F51" s="180"/>
      <c r="G51" s="398"/>
      <c r="H51" s="36"/>
      <c r="I51" s="37"/>
      <c r="J51" s="36"/>
      <c r="K51" s="36"/>
      <c r="L51" s="258">
        <f t="shared" si="1"/>
        <v>0</v>
      </c>
    </row>
    <row r="52" spans="1:12" ht="20" x14ac:dyDescent="0.4">
      <c r="A52" s="257"/>
      <c r="B52" s="33"/>
      <c r="C52" s="33"/>
      <c r="D52" s="299"/>
      <c r="E52" s="180"/>
      <c r="F52" s="180"/>
      <c r="G52" s="398"/>
      <c r="H52" s="36"/>
      <c r="I52" s="37"/>
      <c r="J52" s="36"/>
      <c r="K52" s="36"/>
      <c r="L52" s="193"/>
    </row>
    <row r="53" spans="1:12" ht="20" x14ac:dyDescent="0.4">
      <c r="A53" s="257"/>
      <c r="B53" s="33"/>
      <c r="C53" s="33"/>
      <c r="D53" s="299"/>
      <c r="E53" s="180"/>
      <c r="F53" s="180"/>
      <c r="G53" s="398"/>
      <c r="H53" s="36"/>
      <c r="I53" s="37"/>
      <c r="J53" s="36"/>
      <c r="K53" s="36"/>
      <c r="L53" s="193"/>
    </row>
    <row r="54" spans="1:12" ht="20" x14ac:dyDescent="0.4">
      <c r="A54" s="257"/>
      <c r="B54" s="33"/>
      <c r="C54" s="33"/>
      <c r="D54" s="299"/>
      <c r="E54" s="180"/>
      <c r="F54" s="180"/>
      <c r="G54" s="398"/>
      <c r="H54" s="36"/>
      <c r="I54" s="37"/>
      <c r="J54" s="36"/>
      <c r="K54" s="36"/>
      <c r="L54" s="193"/>
    </row>
    <row r="55" spans="1:12" ht="20" x14ac:dyDescent="0.4">
      <c r="A55" s="257"/>
      <c r="B55" s="33"/>
      <c r="C55" s="33"/>
      <c r="D55" s="299"/>
      <c r="E55" s="180"/>
      <c r="F55" s="180"/>
      <c r="G55" s="398"/>
      <c r="H55" s="36"/>
      <c r="I55" s="37"/>
      <c r="J55" s="37"/>
      <c r="K55" s="37"/>
      <c r="L55" s="193"/>
    </row>
    <row r="56" spans="1:12" ht="20" x14ac:dyDescent="0.4">
      <c r="A56" s="257"/>
      <c r="B56" s="33"/>
      <c r="C56" s="33"/>
      <c r="D56" s="299"/>
      <c r="E56" s="180"/>
      <c r="F56" s="180"/>
      <c r="G56" s="398"/>
      <c r="H56" s="36"/>
      <c r="I56" s="37"/>
      <c r="J56" s="37"/>
      <c r="K56" s="37"/>
      <c r="L56" s="193"/>
    </row>
    <row r="57" spans="1:12" ht="20" x14ac:dyDescent="0.4">
      <c r="A57" s="257"/>
      <c r="B57" s="33"/>
      <c r="C57" s="33"/>
      <c r="D57" s="299"/>
      <c r="E57" s="180"/>
      <c r="F57" s="180"/>
      <c r="G57" s="398"/>
      <c r="H57" s="36"/>
      <c r="I57" s="37"/>
      <c r="J57" s="37"/>
      <c r="K57" s="37"/>
      <c r="L57" s="193"/>
    </row>
    <row r="58" spans="1:12" ht="20" x14ac:dyDescent="0.4">
      <c r="A58" s="257"/>
      <c r="B58" s="33"/>
      <c r="C58" s="33"/>
      <c r="D58" s="299"/>
      <c r="E58" s="180"/>
      <c r="F58" s="180"/>
      <c r="G58" s="398"/>
      <c r="H58" s="36"/>
      <c r="I58" s="37"/>
      <c r="J58" s="37"/>
      <c r="K58" s="37"/>
      <c r="L58" s="193"/>
    </row>
    <row r="59" spans="1:12" ht="20" x14ac:dyDescent="0.4">
      <c r="A59" s="257"/>
      <c r="B59" s="33"/>
      <c r="C59" s="33"/>
      <c r="D59" s="299"/>
      <c r="E59" s="180"/>
      <c r="F59" s="180"/>
      <c r="G59" s="398"/>
      <c r="H59" s="36"/>
      <c r="I59" s="37"/>
      <c r="J59" s="37"/>
      <c r="K59" s="37"/>
      <c r="L59" s="193"/>
    </row>
    <row r="60" spans="1:12" ht="20" x14ac:dyDescent="0.4">
      <c r="A60" s="257"/>
      <c r="B60" s="33"/>
      <c r="C60" s="33"/>
      <c r="D60" s="299"/>
      <c r="E60" s="180"/>
      <c r="F60" s="180"/>
      <c r="G60" s="398"/>
      <c r="H60" s="36"/>
      <c r="I60" s="37"/>
      <c r="J60" s="37"/>
      <c r="K60" s="37"/>
      <c r="L60" s="193"/>
    </row>
    <row r="61" spans="1:12" ht="20" x14ac:dyDescent="0.4">
      <c r="A61" s="257"/>
      <c r="B61" s="33"/>
      <c r="C61" s="33"/>
      <c r="D61" s="299"/>
      <c r="E61" s="180"/>
      <c r="F61" s="180"/>
      <c r="G61" s="398"/>
      <c r="H61" s="36"/>
      <c r="I61" s="37"/>
      <c r="J61" s="37"/>
      <c r="K61" s="37"/>
      <c r="L61" s="193"/>
    </row>
    <row r="62" spans="1:12" ht="20" x14ac:dyDescent="0.4">
      <c r="A62" s="257"/>
      <c r="B62" s="33"/>
      <c r="C62" s="33"/>
      <c r="D62" s="299"/>
      <c r="E62" s="180"/>
      <c r="F62" s="180"/>
      <c r="G62" s="398"/>
      <c r="H62" s="36"/>
      <c r="I62" s="37"/>
      <c r="J62" s="37"/>
      <c r="K62" s="37"/>
      <c r="L62" s="193"/>
    </row>
    <row r="63" spans="1:12" ht="20" x14ac:dyDescent="0.4">
      <c r="A63" s="257"/>
      <c r="B63" s="33"/>
      <c r="C63" s="33"/>
      <c r="D63" s="299"/>
      <c r="E63" s="180"/>
      <c r="F63" s="180"/>
      <c r="G63" s="398"/>
      <c r="H63" s="36"/>
      <c r="I63" s="37"/>
      <c r="J63" s="37"/>
      <c r="K63" s="37"/>
      <c r="L63" s="193"/>
    </row>
    <row r="64" spans="1:12" ht="20" x14ac:dyDescent="0.4">
      <c r="A64" s="257"/>
      <c r="B64" s="33"/>
      <c r="C64" s="33"/>
      <c r="D64" s="299"/>
      <c r="E64" s="180"/>
      <c r="F64" s="180"/>
      <c r="G64" s="398"/>
      <c r="H64" s="36"/>
      <c r="I64" s="37"/>
      <c r="J64" s="37"/>
      <c r="K64" s="37"/>
      <c r="L64" s="193"/>
    </row>
    <row r="65" spans="1:12" ht="20" x14ac:dyDescent="0.4">
      <c r="A65" s="257"/>
      <c r="B65" s="33"/>
      <c r="C65" s="33"/>
      <c r="D65" s="299"/>
      <c r="E65" s="180"/>
      <c r="F65" s="180"/>
      <c r="G65" s="398"/>
      <c r="H65" s="36"/>
      <c r="I65" s="37"/>
      <c r="J65" s="37"/>
      <c r="K65" s="37"/>
      <c r="L65" s="193"/>
    </row>
    <row r="66" spans="1:12" ht="20" x14ac:dyDescent="0.4">
      <c r="A66" s="257"/>
      <c r="B66" s="33"/>
      <c r="C66" s="33"/>
      <c r="D66" s="299"/>
      <c r="E66" s="180"/>
      <c r="F66" s="180"/>
      <c r="G66" s="398"/>
      <c r="H66" s="36"/>
      <c r="I66" s="37"/>
      <c r="J66" s="37"/>
      <c r="K66" s="37"/>
      <c r="L66" s="193"/>
    </row>
    <row r="67" spans="1:12" ht="20" x14ac:dyDescent="0.4">
      <c r="A67" s="257"/>
      <c r="B67" s="33"/>
      <c r="C67" s="33"/>
      <c r="D67" s="299"/>
      <c r="E67" s="180"/>
      <c r="F67" s="180"/>
      <c r="G67" s="398"/>
      <c r="H67" s="36"/>
      <c r="I67" s="37"/>
      <c r="J67" s="37"/>
      <c r="K67" s="37"/>
      <c r="L67" s="193"/>
    </row>
    <row r="68" spans="1:12" ht="20" x14ac:dyDescent="0.4">
      <c r="A68" s="257"/>
      <c r="B68" s="33"/>
      <c r="C68" s="33"/>
      <c r="D68" s="299"/>
      <c r="E68" s="180"/>
      <c r="F68" s="180"/>
      <c r="G68" s="398"/>
      <c r="H68" s="36"/>
      <c r="I68" s="37"/>
      <c r="J68" s="37"/>
      <c r="K68" s="37"/>
      <c r="L68" s="193"/>
    </row>
    <row r="69" spans="1:12" ht="20" x14ac:dyDescent="0.4">
      <c r="A69" s="257"/>
      <c r="B69" s="33"/>
      <c r="C69" s="33"/>
      <c r="D69" s="299"/>
      <c r="E69" s="180"/>
      <c r="F69" s="180"/>
      <c r="G69" s="398"/>
      <c r="H69" s="36"/>
      <c r="I69" s="37"/>
      <c r="J69" s="37"/>
      <c r="K69" s="37"/>
      <c r="L69" s="193"/>
    </row>
    <row r="70" spans="1:12" ht="20" x14ac:dyDescent="0.4">
      <c r="A70" s="257"/>
      <c r="B70" s="33"/>
      <c r="C70" s="33"/>
      <c r="D70" s="299"/>
      <c r="E70" s="180"/>
      <c r="F70" s="180"/>
      <c r="G70" s="398"/>
      <c r="H70" s="36"/>
      <c r="I70" s="37"/>
      <c r="J70" s="37"/>
      <c r="K70" s="37"/>
      <c r="L70" s="193"/>
    </row>
    <row r="71" spans="1:12" ht="20" x14ac:dyDescent="0.4">
      <c r="A71" s="257"/>
      <c r="B71" s="33"/>
      <c r="C71" s="33"/>
      <c r="D71" s="299"/>
      <c r="E71" s="180"/>
      <c r="F71" s="180"/>
      <c r="G71" s="398"/>
      <c r="H71" s="36"/>
      <c r="I71" s="37"/>
      <c r="J71" s="37"/>
      <c r="K71" s="37"/>
      <c r="L71" s="193"/>
    </row>
    <row r="72" spans="1:12" ht="20" x14ac:dyDescent="0.4">
      <c r="A72" s="257"/>
      <c r="B72" s="33"/>
      <c r="C72" s="33"/>
      <c r="D72" s="299"/>
      <c r="E72" s="180"/>
      <c r="F72" s="180"/>
      <c r="G72" s="398"/>
      <c r="H72" s="36"/>
      <c r="I72" s="37"/>
      <c r="J72" s="37"/>
      <c r="K72" s="37"/>
      <c r="L72" s="193"/>
    </row>
    <row r="73" spans="1:12" ht="20" x14ac:dyDescent="0.4">
      <c r="A73" s="257"/>
      <c r="B73" s="33"/>
      <c r="C73" s="33"/>
      <c r="D73" s="299"/>
      <c r="E73" s="180"/>
      <c r="F73" s="180"/>
      <c r="G73" s="398"/>
      <c r="H73" s="36"/>
      <c r="I73" s="37"/>
      <c r="J73" s="37"/>
      <c r="K73" s="37"/>
      <c r="L73" s="193"/>
    </row>
    <row r="74" spans="1:12" ht="20" x14ac:dyDescent="0.4">
      <c r="A74" s="257"/>
      <c r="B74" s="33"/>
      <c r="C74" s="33"/>
      <c r="D74" s="299"/>
      <c r="E74" s="180"/>
      <c r="F74" s="180"/>
      <c r="G74" s="398"/>
      <c r="H74" s="36"/>
      <c r="I74" s="37"/>
      <c r="J74" s="37"/>
      <c r="K74" s="37"/>
      <c r="L74" s="193"/>
    </row>
  </sheetData>
  <autoFilter ref="A3:L4" xr:uid="{00000000-0009-0000-0000-000002000000}"/>
  <mergeCells count="20">
    <mergeCell ref="G25:G26"/>
    <mergeCell ref="F25:F26"/>
    <mergeCell ref="H25:H26"/>
    <mergeCell ref="A1:L1"/>
    <mergeCell ref="G2:K2"/>
    <mergeCell ref="F6:F9"/>
    <mergeCell ref="G6:G9"/>
    <mergeCell ref="H6:H9"/>
    <mergeCell ref="G22:G23"/>
    <mergeCell ref="F22:F23"/>
    <mergeCell ref="H22:H23"/>
    <mergeCell ref="G13:G14"/>
    <mergeCell ref="F13:F14"/>
    <mergeCell ref="H13:H14"/>
    <mergeCell ref="G29:G30"/>
    <mergeCell ref="F29:F30"/>
    <mergeCell ref="H29:H30"/>
    <mergeCell ref="G27:G28"/>
    <mergeCell ref="F27:F28"/>
    <mergeCell ref="H27:H28"/>
  </mergeCells>
  <dataValidations count="1">
    <dataValidation type="whole" allowBlank="1" showInputMessage="1" showErrorMessage="1" sqref="D33:D63 F18:F19 F16 F21 F5 F10:F11 F24:F25 D29:D30 F29 F31 F33:F63 E12 E18:E63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4.5" x14ac:dyDescent="0.35"/>
  <cols>
    <col min="8" max="8" width="11.453125" customWidth="1"/>
  </cols>
  <sheetData>
    <row r="1" spans="1:12" x14ac:dyDescent="0.35">
      <c r="A1" s="319" t="s">
        <v>52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</row>
    <row r="2" spans="1:12" x14ac:dyDescent="0.35">
      <c r="A2" s="25"/>
      <c r="B2" s="26"/>
      <c r="C2" s="26"/>
      <c r="D2" s="26"/>
      <c r="E2" s="27"/>
      <c r="F2" s="27"/>
      <c r="G2" s="320" t="s">
        <v>35</v>
      </c>
      <c r="H2" s="321"/>
      <c r="I2" s="321"/>
      <c r="J2" s="321"/>
      <c r="K2" s="322"/>
      <c r="L2" s="24"/>
    </row>
    <row r="3" spans="1:12" ht="21" x14ac:dyDescent="0.35">
      <c r="A3" s="138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5" x14ac:dyDescent="0.3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4.5" x14ac:dyDescent="0.35"/>
  <cols>
    <col min="1" max="1" width="10.54296875" bestFit="1" customWidth="1"/>
    <col min="3" max="3" width="19.7265625" customWidth="1"/>
  </cols>
  <sheetData>
    <row r="1" spans="1:12" x14ac:dyDescent="0.35">
      <c r="A1" s="319" t="s">
        <v>51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</row>
    <row r="2" spans="1:12" x14ac:dyDescent="0.35">
      <c r="A2" s="25"/>
      <c r="B2" s="26"/>
      <c r="C2" s="26"/>
      <c r="D2" s="26"/>
      <c r="E2" s="27"/>
      <c r="F2" s="27"/>
      <c r="G2" s="320" t="s">
        <v>35</v>
      </c>
      <c r="H2" s="321"/>
      <c r="I2" s="321"/>
      <c r="J2" s="321"/>
      <c r="K2" s="322"/>
      <c r="L2" s="24"/>
    </row>
    <row r="3" spans="1:12" ht="21" x14ac:dyDescent="0.35">
      <c r="A3" s="138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5" x14ac:dyDescent="0.3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3"/>
  <sheetViews>
    <sheetView topLeftCell="A4" zoomScale="89" zoomScaleNormal="89" workbookViewId="0">
      <selection activeCell="D23" sqref="D23"/>
    </sheetView>
  </sheetViews>
  <sheetFormatPr defaultRowHeight="14.5" x14ac:dyDescent="0.35"/>
  <cols>
    <col min="2" max="2" width="15.7265625" style="140" customWidth="1"/>
    <col min="3" max="3" width="21.26953125" customWidth="1"/>
    <col min="4" max="4" width="35.1796875" customWidth="1"/>
    <col min="5" max="5" width="19.453125" customWidth="1"/>
    <col min="6" max="6" width="15.7265625" customWidth="1"/>
    <col min="7" max="7" width="23.453125" bestFit="1" customWidth="1"/>
    <col min="10" max="10" width="9.7265625" style="140" bestFit="1" customWidth="1"/>
    <col min="11" max="11" width="20.26953125" customWidth="1"/>
    <col min="12" max="12" width="27.26953125" bestFit="1" customWidth="1"/>
    <col min="13" max="13" width="16.7265625" customWidth="1"/>
    <col min="14" max="14" width="14.81640625" customWidth="1"/>
    <col min="15" max="15" width="23.453125" bestFit="1" customWidth="1"/>
  </cols>
  <sheetData>
    <row r="1" spans="1:15" ht="21" x14ac:dyDescent="0.35">
      <c r="A1" s="323" t="s">
        <v>0</v>
      </c>
      <c r="B1" s="323"/>
      <c r="C1" s="323"/>
      <c r="D1" s="323"/>
      <c r="E1" s="323"/>
      <c r="F1" s="323"/>
      <c r="G1" s="323"/>
      <c r="I1" s="323" t="s">
        <v>0</v>
      </c>
      <c r="J1" s="323"/>
      <c r="K1" s="323"/>
      <c r="L1" s="323"/>
      <c r="M1" s="323"/>
      <c r="N1" s="323"/>
      <c r="O1" s="323"/>
    </row>
    <row r="2" spans="1:15" x14ac:dyDescent="0.35">
      <c r="A2" s="324"/>
      <c r="B2" s="324"/>
      <c r="C2" s="324"/>
      <c r="D2" s="324"/>
      <c r="E2" s="324"/>
      <c r="F2" s="324"/>
      <c r="G2" s="324"/>
      <c r="I2" s="324"/>
      <c r="J2" s="324"/>
      <c r="K2" s="324"/>
      <c r="L2" s="324"/>
      <c r="M2" s="324"/>
      <c r="N2" s="324"/>
      <c r="O2" s="324"/>
    </row>
    <row r="3" spans="1:15" ht="18.5" x14ac:dyDescent="0.45">
      <c r="A3" s="325" t="s">
        <v>83</v>
      </c>
      <c r="B3" s="325"/>
      <c r="C3" s="128" t="s">
        <v>165</v>
      </c>
      <c r="D3" s="128"/>
      <c r="E3" s="129"/>
      <c r="F3" s="130" t="s">
        <v>84</v>
      </c>
      <c r="G3" s="129" t="s">
        <v>121</v>
      </c>
      <c r="I3" s="325" t="s">
        <v>83</v>
      </c>
      <c r="J3" s="325"/>
      <c r="K3" s="128" t="s">
        <v>120</v>
      </c>
      <c r="L3" s="128"/>
      <c r="M3" s="129"/>
      <c r="N3" s="130" t="s">
        <v>84</v>
      </c>
      <c r="O3" s="129" t="s">
        <v>118</v>
      </c>
    </row>
    <row r="5" spans="1:15" x14ac:dyDescent="0.35">
      <c r="A5" s="105" t="s">
        <v>77</v>
      </c>
      <c r="B5" s="175" t="s">
        <v>36</v>
      </c>
      <c r="C5" s="105" t="s">
        <v>85</v>
      </c>
      <c r="D5" s="105" t="s">
        <v>86</v>
      </c>
      <c r="E5" s="105" t="s">
        <v>88</v>
      </c>
      <c r="F5" s="105" t="s">
        <v>87</v>
      </c>
      <c r="G5" s="131" t="s">
        <v>56</v>
      </c>
      <c r="I5" s="105" t="s">
        <v>77</v>
      </c>
      <c r="J5" s="175" t="s">
        <v>36</v>
      </c>
      <c r="K5" s="105" t="s">
        <v>85</v>
      </c>
      <c r="L5" s="105" t="s">
        <v>86</v>
      </c>
      <c r="M5" s="105" t="s">
        <v>88</v>
      </c>
      <c r="N5" s="105" t="s">
        <v>87</v>
      </c>
      <c r="O5" s="105" t="s">
        <v>56</v>
      </c>
    </row>
    <row r="6" spans="1:15" ht="18.5" x14ac:dyDescent="0.35">
      <c r="A6" s="132">
        <v>1</v>
      </c>
      <c r="B6" s="221">
        <v>46043</v>
      </c>
      <c r="C6" s="105" t="s">
        <v>135</v>
      </c>
      <c r="D6" s="142" t="s">
        <v>205</v>
      </c>
      <c r="E6" s="105" t="s">
        <v>136</v>
      </c>
      <c r="F6" s="105" t="s">
        <v>138</v>
      </c>
      <c r="G6" s="105">
        <v>40</v>
      </c>
      <c r="I6" s="132"/>
      <c r="J6" s="175"/>
      <c r="K6" s="105"/>
      <c r="L6" s="142"/>
      <c r="M6" s="105"/>
      <c r="N6" s="105"/>
      <c r="O6" s="105"/>
    </row>
    <row r="7" spans="1:15" ht="81.5" customHeight="1" x14ac:dyDescent="0.35">
      <c r="A7" s="132">
        <f>SUM(A6+1)</f>
        <v>2</v>
      </c>
      <c r="B7" s="221">
        <v>46043</v>
      </c>
      <c r="C7" s="105" t="s">
        <v>135</v>
      </c>
      <c r="D7" s="142" t="s">
        <v>211</v>
      </c>
      <c r="E7" s="105" t="s">
        <v>136</v>
      </c>
      <c r="F7" s="105" t="s">
        <v>207</v>
      </c>
      <c r="G7" s="105">
        <v>2320</v>
      </c>
      <c r="I7" s="132"/>
      <c r="J7" s="175"/>
      <c r="K7" s="105"/>
      <c r="L7" s="105"/>
      <c r="M7" s="105"/>
      <c r="N7" s="105"/>
      <c r="O7" s="105"/>
    </row>
    <row r="8" spans="1:15" ht="18.5" x14ac:dyDescent="0.35">
      <c r="A8" s="132">
        <v>2</v>
      </c>
      <c r="B8" s="221">
        <v>46043</v>
      </c>
      <c r="C8" s="105" t="s">
        <v>135</v>
      </c>
      <c r="D8" s="142" t="s">
        <v>213</v>
      </c>
      <c r="E8" s="105" t="s">
        <v>136</v>
      </c>
      <c r="F8" s="105" t="s">
        <v>138</v>
      </c>
      <c r="G8" s="105">
        <v>230</v>
      </c>
      <c r="I8" s="132"/>
      <c r="J8" s="175"/>
      <c r="K8" s="105"/>
      <c r="L8" s="142"/>
      <c r="M8" s="105"/>
      <c r="N8" s="105"/>
      <c r="O8" s="105"/>
    </row>
    <row r="9" spans="1:15" ht="29" x14ac:dyDescent="0.35">
      <c r="A9" s="132">
        <f t="shared" ref="A9:A25" si="0">SUM(A8+1)</f>
        <v>3</v>
      </c>
      <c r="B9" s="221">
        <v>46043</v>
      </c>
      <c r="C9" s="105" t="s">
        <v>135</v>
      </c>
      <c r="D9" s="142" t="s">
        <v>215</v>
      </c>
      <c r="E9" s="105" t="s">
        <v>136</v>
      </c>
      <c r="F9" s="105" t="s">
        <v>138</v>
      </c>
      <c r="G9" s="105">
        <v>50</v>
      </c>
      <c r="I9" s="132"/>
      <c r="J9" s="175"/>
      <c r="K9" s="105"/>
      <c r="L9" s="105"/>
      <c r="M9" s="105"/>
      <c r="N9" s="105"/>
      <c r="O9" s="105"/>
    </row>
    <row r="10" spans="1:15" ht="23.15" customHeight="1" x14ac:dyDescent="0.35">
      <c r="A10" s="132">
        <v>3</v>
      </c>
      <c r="B10" s="221">
        <v>46044</v>
      </c>
      <c r="C10" s="105" t="s">
        <v>135</v>
      </c>
      <c r="D10" s="142" t="s">
        <v>217</v>
      </c>
      <c r="E10" s="105" t="s">
        <v>136</v>
      </c>
      <c r="F10" s="105" t="s">
        <v>207</v>
      </c>
      <c r="G10" s="105">
        <v>480</v>
      </c>
      <c r="I10" s="132"/>
      <c r="J10" s="175"/>
      <c r="K10" s="105"/>
      <c r="L10" s="105"/>
      <c r="M10" s="105"/>
      <c r="N10" s="105"/>
      <c r="O10" s="105"/>
    </row>
    <row r="11" spans="1:15" ht="50" customHeight="1" x14ac:dyDescent="0.35">
      <c r="A11" s="132">
        <f t="shared" ref="A11:A25" si="1">SUM(A10+1)</f>
        <v>4</v>
      </c>
      <c r="B11" s="221">
        <v>46046</v>
      </c>
      <c r="C11" s="105" t="s">
        <v>135</v>
      </c>
      <c r="D11" s="142" t="s">
        <v>220</v>
      </c>
      <c r="E11" s="105" t="s">
        <v>136</v>
      </c>
      <c r="F11" s="105" t="s">
        <v>207</v>
      </c>
      <c r="G11" s="105">
        <v>850</v>
      </c>
      <c r="I11" s="132"/>
      <c r="J11" s="175"/>
      <c r="K11" s="105"/>
      <c r="L11" s="105"/>
      <c r="M11" s="105"/>
      <c r="N11" s="105"/>
      <c r="O11" s="105"/>
    </row>
    <row r="12" spans="1:15" ht="42" customHeight="1" x14ac:dyDescent="0.35">
      <c r="A12" s="132">
        <v>4</v>
      </c>
      <c r="B12" s="221">
        <v>46047</v>
      </c>
      <c r="C12" s="105" t="s">
        <v>135</v>
      </c>
      <c r="D12" s="142" t="s">
        <v>222</v>
      </c>
      <c r="E12" s="105" t="s">
        <v>136</v>
      </c>
      <c r="F12" s="105" t="s">
        <v>207</v>
      </c>
      <c r="G12" s="105">
        <v>1210</v>
      </c>
      <c r="I12" s="132"/>
      <c r="J12" s="175"/>
      <c r="K12" s="105"/>
      <c r="L12" s="105"/>
      <c r="M12" s="105"/>
      <c r="N12" s="105"/>
      <c r="O12" s="105"/>
    </row>
    <row r="13" spans="1:15" ht="32.15" customHeight="1" x14ac:dyDescent="0.35">
      <c r="A13" s="132">
        <f t="shared" ref="A13:A25" si="2">SUM(A12+1)</f>
        <v>5</v>
      </c>
      <c r="B13" s="221">
        <v>46047</v>
      </c>
      <c r="C13" s="105" t="s">
        <v>135</v>
      </c>
      <c r="D13" s="142" t="s">
        <v>213</v>
      </c>
      <c r="E13" s="105" t="s">
        <v>136</v>
      </c>
      <c r="F13" s="105" t="s">
        <v>138</v>
      </c>
      <c r="G13" s="105">
        <v>20</v>
      </c>
      <c r="I13" s="132"/>
      <c r="J13" s="175"/>
      <c r="K13" s="105"/>
      <c r="L13" s="105"/>
      <c r="M13" s="105"/>
      <c r="N13" s="105"/>
      <c r="O13" s="105"/>
    </row>
    <row r="14" spans="1:15" ht="18.5" x14ac:dyDescent="0.35">
      <c r="A14" s="132">
        <v>5</v>
      </c>
      <c r="B14" s="221">
        <v>46047</v>
      </c>
      <c r="C14" s="105" t="s">
        <v>135</v>
      </c>
      <c r="D14" s="142" t="s">
        <v>224</v>
      </c>
      <c r="E14" s="105" t="s">
        <v>136</v>
      </c>
      <c r="F14" s="105" t="s">
        <v>207</v>
      </c>
      <c r="G14" s="105">
        <v>100</v>
      </c>
      <c r="I14" s="132"/>
      <c r="J14" s="175"/>
      <c r="K14" s="105"/>
      <c r="L14" s="105"/>
      <c r="M14" s="105"/>
      <c r="N14" s="105"/>
      <c r="O14" s="105"/>
    </row>
    <row r="15" spans="1:15" ht="28.5" customHeight="1" x14ac:dyDescent="0.35">
      <c r="A15" s="132">
        <f t="shared" ref="A15:A25" si="3">SUM(A14+1)</f>
        <v>6</v>
      </c>
      <c r="B15" s="221">
        <v>46047</v>
      </c>
      <c r="C15" s="105" t="s">
        <v>135</v>
      </c>
      <c r="D15" s="142" t="s">
        <v>215</v>
      </c>
      <c r="E15" s="105" t="s">
        <v>136</v>
      </c>
      <c r="F15" s="105" t="s">
        <v>138</v>
      </c>
      <c r="G15" s="105">
        <v>100</v>
      </c>
      <c r="I15" s="245"/>
      <c r="J15" s="175"/>
      <c r="K15" s="105"/>
      <c r="L15" s="105"/>
      <c r="M15" s="105"/>
      <c r="N15" s="105"/>
      <c r="O15" s="105"/>
    </row>
    <row r="16" spans="1:15" ht="30.75" customHeight="1" x14ac:dyDescent="0.35">
      <c r="A16" s="132">
        <v>6</v>
      </c>
      <c r="B16" s="221">
        <v>46048</v>
      </c>
      <c r="C16" s="105" t="s">
        <v>135</v>
      </c>
      <c r="D16" s="142" t="s">
        <v>226</v>
      </c>
      <c r="E16" s="105" t="s">
        <v>136</v>
      </c>
      <c r="F16" s="105" t="s">
        <v>207</v>
      </c>
      <c r="G16" s="105">
        <v>1180</v>
      </c>
      <c r="I16" s="245"/>
      <c r="J16" s="175"/>
      <c r="K16" s="105"/>
      <c r="L16" s="105"/>
      <c r="M16" s="105"/>
      <c r="N16" s="105"/>
      <c r="O16" s="105"/>
    </row>
    <row r="17" spans="1:15" ht="29.25" customHeight="1" x14ac:dyDescent="0.35">
      <c r="A17" s="132">
        <f t="shared" ref="A17:A25" si="4">SUM(A16+1)</f>
        <v>7</v>
      </c>
      <c r="B17" s="221">
        <v>46048</v>
      </c>
      <c r="C17" s="105" t="s">
        <v>135</v>
      </c>
      <c r="D17" s="142" t="s">
        <v>228</v>
      </c>
      <c r="E17" s="105" t="s">
        <v>136</v>
      </c>
      <c r="F17" s="105" t="s">
        <v>207</v>
      </c>
      <c r="G17" s="105">
        <v>300</v>
      </c>
      <c r="I17" s="132"/>
      <c r="J17" s="175"/>
      <c r="K17" s="105"/>
      <c r="L17" s="105"/>
      <c r="M17" s="105"/>
      <c r="N17" s="105"/>
      <c r="O17" s="105"/>
    </row>
    <row r="18" spans="1:15" ht="18.5" x14ac:dyDescent="0.35">
      <c r="A18" s="132">
        <v>7</v>
      </c>
      <c r="B18" s="221">
        <v>46049</v>
      </c>
      <c r="C18" s="105" t="s">
        <v>135</v>
      </c>
      <c r="D18" s="142" t="s">
        <v>224</v>
      </c>
      <c r="E18" s="105" t="s">
        <v>136</v>
      </c>
      <c r="F18" s="105" t="s">
        <v>207</v>
      </c>
      <c r="G18" s="105">
        <v>200</v>
      </c>
      <c r="I18" s="132"/>
      <c r="J18" s="175"/>
      <c r="K18" s="105"/>
      <c r="L18" s="105"/>
      <c r="M18" s="105"/>
      <c r="N18" s="105"/>
      <c r="O18" s="105"/>
    </row>
    <row r="19" spans="1:15" ht="18.5" x14ac:dyDescent="0.35">
      <c r="A19" s="132">
        <f t="shared" ref="A19:A25" si="5">SUM(A18+1)</f>
        <v>8</v>
      </c>
      <c r="B19" s="221">
        <v>46049</v>
      </c>
      <c r="C19" s="105" t="s">
        <v>135</v>
      </c>
      <c r="D19" s="142" t="s">
        <v>229</v>
      </c>
      <c r="E19" s="105" t="s">
        <v>136</v>
      </c>
      <c r="F19" s="105" t="s">
        <v>138</v>
      </c>
      <c r="G19" s="105">
        <v>300</v>
      </c>
      <c r="I19" s="132"/>
      <c r="J19" s="175"/>
      <c r="K19" s="105"/>
      <c r="L19" s="105"/>
      <c r="M19" s="105"/>
      <c r="N19" s="105"/>
      <c r="O19" s="105"/>
    </row>
    <row r="20" spans="1:15" ht="18.5" x14ac:dyDescent="0.35">
      <c r="A20" s="132">
        <v>8</v>
      </c>
      <c r="B20" s="221">
        <v>46050</v>
      </c>
      <c r="C20" s="105" t="s">
        <v>135</v>
      </c>
      <c r="D20" s="142" t="s">
        <v>231</v>
      </c>
      <c r="E20" s="105" t="s">
        <v>136</v>
      </c>
      <c r="F20" s="105" t="s">
        <v>207</v>
      </c>
      <c r="G20" s="105">
        <v>1160</v>
      </c>
      <c r="I20" s="132"/>
      <c r="J20" s="175"/>
      <c r="K20" s="105"/>
      <c r="L20" s="105"/>
      <c r="M20" s="105"/>
      <c r="N20" s="105"/>
      <c r="O20" s="105"/>
    </row>
    <row r="21" spans="1:15" ht="29" x14ac:dyDescent="0.35">
      <c r="A21" s="132">
        <f t="shared" ref="A21:A25" si="6">SUM(A20+1)</f>
        <v>9</v>
      </c>
      <c r="B21" s="221">
        <v>46051</v>
      </c>
      <c r="C21" s="105" t="s">
        <v>135</v>
      </c>
      <c r="D21" s="142" t="s">
        <v>215</v>
      </c>
      <c r="E21" s="105" t="s">
        <v>136</v>
      </c>
      <c r="F21" s="105" t="s">
        <v>138</v>
      </c>
      <c r="G21" s="105">
        <v>180</v>
      </c>
      <c r="I21" s="132"/>
      <c r="J21" s="175"/>
      <c r="K21" s="105"/>
      <c r="L21" s="105"/>
      <c r="M21" s="105"/>
      <c r="N21" s="105"/>
      <c r="O21" s="105"/>
    </row>
    <row r="22" spans="1:15" ht="29" x14ac:dyDescent="0.35">
      <c r="A22" s="132">
        <v>9</v>
      </c>
      <c r="B22" s="221">
        <v>46051</v>
      </c>
      <c r="C22" s="105" t="s">
        <v>135</v>
      </c>
      <c r="D22" s="142" t="s">
        <v>235</v>
      </c>
      <c r="E22" s="105" t="s">
        <v>136</v>
      </c>
      <c r="F22" s="105" t="s">
        <v>207</v>
      </c>
      <c r="G22" s="105">
        <v>450</v>
      </c>
      <c r="I22" s="132"/>
      <c r="J22" s="175"/>
      <c r="K22" s="105"/>
      <c r="L22" s="105"/>
      <c r="M22" s="105"/>
      <c r="N22" s="105"/>
      <c r="O22" s="105"/>
    </row>
    <row r="23" spans="1:15" ht="29" x14ac:dyDescent="0.35">
      <c r="A23" s="132">
        <f t="shared" ref="A23:A25" si="7">SUM(A22+1)</f>
        <v>10</v>
      </c>
      <c r="B23" s="221">
        <v>46053</v>
      </c>
      <c r="C23" s="105" t="s">
        <v>135</v>
      </c>
      <c r="D23" s="142" t="s">
        <v>238</v>
      </c>
      <c r="E23" s="105" t="s">
        <v>136</v>
      </c>
      <c r="F23" s="105" t="s">
        <v>207</v>
      </c>
      <c r="G23" s="105">
        <v>560</v>
      </c>
      <c r="I23" s="132"/>
      <c r="J23" s="175"/>
      <c r="K23" s="105"/>
      <c r="L23" s="105"/>
      <c r="M23" s="105"/>
      <c r="N23" s="105"/>
      <c r="O23" s="105"/>
    </row>
    <row r="24" spans="1:15" ht="18.5" x14ac:dyDescent="0.35">
      <c r="A24" s="132">
        <v>10</v>
      </c>
      <c r="B24" s="221">
        <v>46053</v>
      </c>
      <c r="C24" s="105" t="s">
        <v>135</v>
      </c>
      <c r="D24" s="142" t="s">
        <v>224</v>
      </c>
      <c r="E24" s="105" t="s">
        <v>136</v>
      </c>
      <c r="F24" s="105" t="s">
        <v>207</v>
      </c>
      <c r="G24" s="105">
        <v>80</v>
      </c>
      <c r="I24" s="132"/>
      <c r="J24" s="175"/>
      <c r="K24" s="105"/>
      <c r="L24" s="105"/>
      <c r="M24" s="105"/>
      <c r="N24" s="105"/>
      <c r="O24" s="105"/>
    </row>
    <row r="25" spans="1:15" ht="29" x14ac:dyDescent="0.35">
      <c r="A25" s="132">
        <f t="shared" ref="A25" si="8">SUM(A24+1)</f>
        <v>11</v>
      </c>
      <c r="B25" s="221">
        <v>46053</v>
      </c>
      <c r="C25" s="105" t="s">
        <v>135</v>
      </c>
      <c r="D25" s="142" t="s">
        <v>215</v>
      </c>
      <c r="E25" s="105" t="s">
        <v>136</v>
      </c>
      <c r="F25" s="105" t="s">
        <v>138</v>
      </c>
      <c r="G25" s="105">
        <v>50</v>
      </c>
      <c r="I25" s="132"/>
      <c r="J25" s="175"/>
      <c r="K25" s="105"/>
      <c r="L25" s="105"/>
      <c r="M25" s="105"/>
      <c r="N25" s="105"/>
      <c r="O25" s="105"/>
    </row>
    <row r="26" spans="1:15" x14ac:dyDescent="0.35">
      <c r="C26" s="326"/>
      <c r="D26" s="326"/>
      <c r="E26" s="326"/>
      <c r="G26" s="222"/>
      <c r="I26" s="121"/>
      <c r="J26" s="183"/>
      <c r="K26" s="121"/>
      <c r="L26" s="121"/>
      <c r="M26" s="121"/>
      <c r="N26" s="105"/>
      <c r="O26" s="131"/>
    </row>
    <row r="27" spans="1:15" x14ac:dyDescent="0.35">
      <c r="C27" s="326"/>
      <c r="D27" s="326"/>
      <c r="E27" s="326"/>
      <c r="F27" s="105" t="s">
        <v>23</v>
      </c>
      <c r="G27" s="105">
        <f>SUM(G6:G25)</f>
        <v>9860</v>
      </c>
    </row>
    <row r="28" spans="1:15" x14ac:dyDescent="0.35">
      <c r="B28" s="183"/>
      <c r="C28" s="326"/>
      <c r="D28" s="326"/>
      <c r="E28" s="326"/>
      <c r="F28" s="327"/>
      <c r="G28" s="327"/>
      <c r="I28" s="111"/>
      <c r="J28" s="176"/>
      <c r="K28" s="111"/>
      <c r="L28" s="111"/>
      <c r="M28" s="111"/>
      <c r="N28" s="111"/>
      <c r="O28" s="111"/>
    </row>
    <row r="29" spans="1:15" x14ac:dyDescent="0.35">
      <c r="F29" s="324"/>
      <c r="G29" s="324"/>
      <c r="I29" s="134" t="s">
        <v>78</v>
      </c>
      <c r="J29" s="177"/>
      <c r="K29" s="47"/>
      <c r="L29" s="47" t="s">
        <v>79</v>
      </c>
      <c r="M29" s="47"/>
      <c r="N29" s="47" t="s">
        <v>80</v>
      </c>
      <c r="O29" s="47"/>
    </row>
    <row r="30" spans="1:15" x14ac:dyDescent="0.35">
      <c r="A30" s="134"/>
      <c r="B30" s="176"/>
      <c r="C30" s="111"/>
      <c r="D30" s="111"/>
      <c r="E30" s="111"/>
      <c r="F30" s="324"/>
      <c r="G30" s="324"/>
      <c r="I30" s="135" t="s">
        <v>30</v>
      </c>
      <c r="J30" s="176"/>
      <c r="K30" s="111"/>
      <c r="L30" s="111" t="s">
        <v>81</v>
      </c>
      <c r="N30" s="111" t="s">
        <v>82</v>
      </c>
    </row>
    <row r="31" spans="1:15" x14ac:dyDescent="0.35">
      <c r="A31" s="134" t="s">
        <v>78</v>
      </c>
      <c r="B31" s="176"/>
      <c r="C31" s="47"/>
      <c r="D31" s="47" t="s">
        <v>79</v>
      </c>
      <c r="E31" s="47"/>
      <c r="F31" s="47" t="s">
        <v>80</v>
      </c>
      <c r="G31" s="47"/>
    </row>
    <row r="32" spans="1:15" x14ac:dyDescent="0.35">
      <c r="A32" s="135" t="s">
        <v>30</v>
      </c>
      <c r="C32" s="217"/>
      <c r="D32" s="111" t="s">
        <v>81</v>
      </c>
      <c r="F32" s="111" t="s">
        <v>82</v>
      </c>
    </row>
    <row r="33" spans="2:3" x14ac:dyDescent="0.35">
      <c r="B33" s="217"/>
      <c r="C33" s="217"/>
    </row>
  </sheetData>
  <mergeCells count="8">
    <mergeCell ref="I1:O1"/>
    <mergeCell ref="I2:O2"/>
    <mergeCell ref="I3:J3"/>
    <mergeCell ref="C26:E28"/>
    <mergeCell ref="F28:G30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23"/>
  <sheetViews>
    <sheetView topLeftCell="A95" workbookViewId="0">
      <selection activeCell="A84" sqref="A84:G109"/>
    </sheetView>
  </sheetViews>
  <sheetFormatPr defaultRowHeight="14.5" x14ac:dyDescent="0.35"/>
  <cols>
    <col min="1" max="1" width="10.81640625" style="47" bestFit="1" customWidth="1"/>
    <col min="2" max="2" width="11.26953125" style="140" customWidth="1"/>
    <col min="3" max="3" width="29.453125" customWidth="1"/>
    <col min="4" max="4" width="18.453125" customWidth="1"/>
    <col min="5" max="5" width="15.26953125" bestFit="1" customWidth="1"/>
    <col min="6" max="6" width="13.7265625" customWidth="1"/>
    <col min="7" max="7" width="15.453125" customWidth="1"/>
    <col min="9" max="9" width="8.26953125" customWidth="1"/>
    <col min="10" max="10" width="11.26953125" style="140" customWidth="1"/>
    <col min="11" max="11" width="25.81640625" customWidth="1"/>
    <col min="12" max="12" width="19.1796875" customWidth="1"/>
    <col min="13" max="13" width="13.81640625" customWidth="1"/>
    <col min="14" max="14" width="15" customWidth="1"/>
  </cols>
  <sheetData>
    <row r="1" spans="1:15" x14ac:dyDescent="0.35">
      <c r="A1" s="331" t="s">
        <v>0</v>
      </c>
      <c r="B1" s="332"/>
      <c r="C1" s="332"/>
      <c r="D1" s="332"/>
      <c r="E1" s="332"/>
      <c r="F1" s="332"/>
      <c r="G1" s="333"/>
      <c r="I1" s="331" t="s">
        <v>0</v>
      </c>
      <c r="J1" s="332"/>
      <c r="K1" s="332"/>
      <c r="L1" s="332"/>
      <c r="M1" s="332"/>
      <c r="N1" s="332"/>
      <c r="O1" s="333"/>
    </row>
    <row r="2" spans="1:15" x14ac:dyDescent="0.35">
      <c r="A2" s="334"/>
      <c r="B2" s="324"/>
      <c r="C2" s="324"/>
      <c r="D2" s="324"/>
      <c r="E2" s="324"/>
      <c r="F2" s="324"/>
      <c r="G2" s="335"/>
      <c r="I2" s="334"/>
      <c r="J2" s="324"/>
      <c r="K2" s="324"/>
      <c r="L2" s="324"/>
      <c r="M2" s="324"/>
      <c r="N2" s="324"/>
      <c r="O2" s="335"/>
    </row>
    <row r="3" spans="1:15" x14ac:dyDescent="0.35">
      <c r="A3" s="336" t="s">
        <v>83</v>
      </c>
      <c r="B3" s="337"/>
      <c r="C3" s="120" t="s">
        <v>166</v>
      </c>
      <c r="D3" s="120"/>
      <c r="E3" s="121"/>
      <c r="F3" s="122" t="s">
        <v>84</v>
      </c>
      <c r="G3" s="123" t="s">
        <v>118</v>
      </c>
      <c r="I3" s="336" t="s">
        <v>83</v>
      </c>
      <c r="J3" s="337"/>
      <c r="K3" s="120" t="s">
        <v>125</v>
      </c>
      <c r="L3" s="120"/>
      <c r="M3" s="121"/>
      <c r="N3" s="122" t="s">
        <v>84</v>
      </c>
      <c r="O3" s="123" t="s">
        <v>122</v>
      </c>
    </row>
    <row r="4" spans="1:15" x14ac:dyDescent="0.35">
      <c r="A4" s="153"/>
      <c r="G4" s="103"/>
      <c r="I4" s="102"/>
      <c r="O4" s="103"/>
    </row>
    <row r="5" spans="1:15" x14ac:dyDescent="0.35">
      <c r="A5" s="104" t="s">
        <v>77</v>
      </c>
      <c r="B5" s="175" t="s">
        <v>36</v>
      </c>
      <c r="C5" s="105" t="s">
        <v>85</v>
      </c>
      <c r="D5" s="105" t="s">
        <v>86</v>
      </c>
      <c r="E5" s="105" t="s">
        <v>5</v>
      </c>
      <c r="F5" s="105" t="s">
        <v>87</v>
      </c>
      <c r="G5" s="106" t="s">
        <v>56</v>
      </c>
      <c r="I5" s="104" t="s">
        <v>77</v>
      </c>
      <c r="J5" s="175" t="s">
        <v>36</v>
      </c>
      <c r="K5" s="105" t="s">
        <v>85</v>
      </c>
      <c r="L5" s="105" t="s">
        <v>86</v>
      </c>
      <c r="M5" s="105" t="s">
        <v>5</v>
      </c>
      <c r="N5" s="105" t="s">
        <v>87</v>
      </c>
      <c r="O5" s="106" t="s">
        <v>56</v>
      </c>
    </row>
    <row r="6" spans="1:15" ht="43.5" x14ac:dyDescent="0.35">
      <c r="A6" s="107">
        <v>1</v>
      </c>
      <c r="B6" s="175">
        <v>46043</v>
      </c>
      <c r="C6" s="142" t="s">
        <v>239</v>
      </c>
      <c r="D6" s="108" t="s">
        <v>135</v>
      </c>
      <c r="E6" s="164" t="s">
        <v>136</v>
      </c>
      <c r="F6" s="105" t="s">
        <v>137</v>
      </c>
      <c r="G6" s="109">
        <v>450</v>
      </c>
      <c r="I6" s="104">
        <v>1</v>
      </c>
      <c r="J6" s="221">
        <v>44964</v>
      </c>
      <c r="K6" s="142" t="s">
        <v>160</v>
      </c>
      <c r="L6" s="108" t="s">
        <v>135</v>
      </c>
      <c r="M6" s="191" t="s">
        <v>136</v>
      </c>
      <c r="N6" s="105" t="s">
        <v>145</v>
      </c>
      <c r="O6" s="109">
        <v>60</v>
      </c>
    </row>
    <row r="7" spans="1:15" x14ac:dyDescent="0.35">
      <c r="A7" s="107">
        <v>2</v>
      </c>
      <c r="B7" s="175">
        <v>46048</v>
      </c>
      <c r="C7" s="142" t="s">
        <v>226</v>
      </c>
      <c r="D7" s="108" t="s">
        <v>135</v>
      </c>
      <c r="E7" s="164" t="s">
        <v>136</v>
      </c>
      <c r="F7" s="105" t="s">
        <v>137</v>
      </c>
      <c r="G7" s="109">
        <v>350</v>
      </c>
      <c r="I7" s="107"/>
      <c r="J7" s="144"/>
      <c r="K7" s="108"/>
      <c r="L7" s="108"/>
      <c r="M7" s="108"/>
      <c r="N7" s="108" t="s">
        <v>23</v>
      </c>
      <c r="O7" s="109">
        <f>SUM(O6:O6)</f>
        <v>60</v>
      </c>
    </row>
    <row r="8" spans="1:15" ht="27.75" customHeight="1" x14ac:dyDescent="0.35">
      <c r="A8" s="107">
        <v>3</v>
      </c>
      <c r="B8" s="175">
        <v>46049</v>
      </c>
      <c r="C8" s="157" t="s">
        <v>242</v>
      </c>
      <c r="D8" s="108" t="s">
        <v>135</v>
      </c>
      <c r="E8" s="108" t="s">
        <v>136</v>
      </c>
      <c r="F8" s="105" t="s">
        <v>137</v>
      </c>
      <c r="G8" s="109">
        <v>60</v>
      </c>
      <c r="I8" s="102"/>
      <c r="O8" s="103"/>
    </row>
    <row r="9" spans="1:15" x14ac:dyDescent="0.35">
      <c r="A9" s="338"/>
      <c r="B9" s="339"/>
      <c r="C9" s="339"/>
      <c r="D9" s="339"/>
      <c r="E9" s="339"/>
      <c r="F9" s="423"/>
      <c r="G9" s="109"/>
      <c r="I9" s="113" t="s">
        <v>78</v>
      </c>
      <c r="J9" s="177"/>
      <c r="K9" s="47"/>
      <c r="L9" s="47" t="s">
        <v>79</v>
      </c>
      <c r="M9" s="47"/>
      <c r="N9" s="47" t="s">
        <v>80</v>
      </c>
      <c r="O9" s="114"/>
    </row>
    <row r="10" spans="1:15" ht="15" thickBot="1" x14ac:dyDescent="0.4">
      <c r="A10" s="153"/>
      <c r="F10" s="108" t="s">
        <v>23</v>
      </c>
      <c r="G10" s="109">
        <f>SUM(G6:G8)</f>
        <v>860</v>
      </c>
      <c r="I10" s="124" t="s">
        <v>30</v>
      </c>
      <c r="J10" s="188"/>
      <c r="K10" s="125"/>
      <c r="L10" s="125" t="s">
        <v>81</v>
      </c>
      <c r="M10" s="126"/>
      <c r="N10" s="125" t="s">
        <v>82</v>
      </c>
      <c r="O10" s="127"/>
    </row>
    <row r="11" spans="1:15" ht="15" thickBot="1" x14ac:dyDescent="0.4">
      <c r="A11" s="110"/>
      <c r="B11" s="176"/>
      <c r="C11" s="111"/>
      <c r="D11" s="111"/>
      <c r="E11" s="111"/>
      <c r="F11" s="111"/>
      <c r="G11" s="112"/>
    </row>
    <row r="12" spans="1:15" x14ac:dyDescent="0.35">
      <c r="A12" s="153" t="s">
        <v>78</v>
      </c>
      <c r="B12" s="177"/>
      <c r="C12" s="47"/>
      <c r="D12" s="47" t="s">
        <v>79</v>
      </c>
      <c r="E12" s="47"/>
      <c r="F12" s="47" t="s">
        <v>80</v>
      </c>
      <c r="G12" s="114"/>
      <c r="I12" s="331" t="s">
        <v>0</v>
      </c>
      <c r="J12" s="332"/>
      <c r="K12" s="332"/>
      <c r="L12" s="332"/>
      <c r="M12" s="332"/>
      <c r="N12" s="332"/>
      <c r="O12" s="333"/>
    </row>
    <row r="13" spans="1:15" ht="15" thickBot="1" x14ac:dyDescent="0.4">
      <c r="A13" s="412" t="s">
        <v>30</v>
      </c>
      <c r="B13" s="188"/>
      <c r="C13" s="125"/>
      <c r="D13" s="125" t="s">
        <v>81</v>
      </c>
      <c r="E13" s="126"/>
      <c r="F13" s="125" t="s">
        <v>82</v>
      </c>
      <c r="G13" s="127"/>
      <c r="I13" s="334"/>
      <c r="J13" s="324"/>
      <c r="K13" s="324"/>
      <c r="L13" s="324"/>
      <c r="M13" s="324"/>
      <c r="N13" s="324"/>
      <c r="O13" s="335"/>
    </row>
    <row r="14" spans="1:15" ht="15" thickBot="1" x14ac:dyDescent="0.4">
      <c r="I14" s="336" t="s">
        <v>83</v>
      </c>
      <c r="J14" s="337"/>
      <c r="K14" s="120" t="s">
        <v>126</v>
      </c>
      <c r="L14" s="120"/>
      <c r="M14" s="121"/>
      <c r="N14" s="122" t="s">
        <v>84</v>
      </c>
      <c r="O14" s="123" t="s">
        <v>118</v>
      </c>
    </row>
    <row r="15" spans="1:15" x14ac:dyDescent="0.35">
      <c r="A15" s="331" t="s">
        <v>0</v>
      </c>
      <c r="B15" s="332"/>
      <c r="C15" s="332"/>
      <c r="D15" s="332"/>
      <c r="E15" s="332"/>
      <c r="F15" s="332"/>
      <c r="G15" s="333"/>
      <c r="I15" s="102"/>
      <c r="O15" s="103"/>
    </row>
    <row r="16" spans="1:15" x14ac:dyDescent="0.35">
      <c r="A16" s="334"/>
      <c r="B16" s="324"/>
      <c r="C16" s="324"/>
      <c r="D16" s="324"/>
      <c r="E16" s="324"/>
      <c r="F16" s="324"/>
      <c r="G16" s="335"/>
      <c r="I16" s="104" t="s">
        <v>77</v>
      </c>
      <c r="J16" s="175" t="s">
        <v>36</v>
      </c>
      <c r="K16" s="105" t="s">
        <v>85</v>
      </c>
      <c r="L16" s="105" t="s">
        <v>86</v>
      </c>
      <c r="M16" s="105" t="s">
        <v>5</v>
      </c>
      <c r="N16" s="105" t="s">
        <v>87</v>
      </c>
      <c r="O16" s="106" t="s">
        <v>56</v>
      </c>
    </row>
    <row r="17" spans="1:15" x14ac:dyDescent="0.35">
      <c r="A17" s="336" t="s">
        <v>83</v>
      </c>
      <c r="B17" s="337"/>
      <c r="C17" s="120" t="s">
        <v>164</v>
      </c>
      <c r="D17" s="120"/>
      <c r="E17" s="121"/>
      <c r="F17" s="122" t="s">
        <v>84</v>
      </c>
      <c r="G17" s="123" t="s">
        <v>144</v>
      </c>
      <c r="I17" s="107">
        <v>1</v>
      </c>
      <c r="J17" s="221">
        <v>45202</v>
      </c>
      <c r="K17" s="142" t="s">
        <v>140</v>
      </c>
      <c r="L17" s="108" t="s">
        <v>135</v>
      </c>
      <c r="M17" s="164" t="s">
        <v>136</v>
      </c>
      <c r="N17" s="105" t="s">
        <v>137</v>
      </c>
      <c r="O17" s="109"/>
    </row>
    <row r="18" spans="1:15" x14ac:dyDescent="0.35">
      <c r="A18" s="153"/>
      <c r="G18" s="103"/>
      <c r="I18" s="107">
        <v>2</v>
      </c>
      <c r="J18" s="221">
        <v>45203</v>
      </c>
      <c r="K18" s="105" t="s">
        <v>139</v>
      </c>
      <c r="L18" s="108" t="s">
        <v>135</v>
      </c>
      <c r="M18" s="164" t="s">
        <v>136</v>
      </c>
      <c r="N18" s="105" t="s">
        <v>138</v>
      </c>
      <c r="O18" s="109"/>
    </row>
    <row r="19" spans="1:15" x14ac:dyDescent="0.35">
      <c r="A19" s="104" t="s">
        <v>77</v>
      </c>
      <c r="B19" s="175" t="s">
        <v>36</v>
      </c>
      <c r="C19" s="105" t="s">
        <v>85</v>
      </c>
      <c r="D19" s="105" t="s">
        <v>86</v>
      </c>
      <c r="E19" s="105" t="s">
        <v>5</v>
      </c>
      <c r="F19" s="105" t="s">
        <v>87</v>
      </c>
      <c r="G19" s="106" t="s">
        <v>56</v>
      </c>
      <c r="I19" s="108"/>
      <c r="J19" s="211"/>
      <c r="K19" s="99"/>
      <c r="L19" s="99"/>
      <c r="M19" s="99"/>
      <c r="N19" s="99"/>
      <c r="O19" s="99"/>
    </row>
    <row r="20" spans="1:15" ht="29" x14ac:dyDescent="0.35">
      <c r="A20" s="208">
        <v>1</v>
      </c>
      <c r="B20" s="415">
        <v>46046</v>
      </c>
      <c r="C20" s="142" t="s">
        <v>241</v>
      </c>
      <c r="D20" s="108" t="s">
        <v>135</v>
      </c>
      <c r="E20" s="164" t="s">
        <v>136</v>
      </c>
      <c r="F20" s="105" t="s">
        <v>137</v>
      </c>
      <c r="G20" s="105">
        <v>200</v>
      </c>
      <c r="I20" s="328"/>
      <c r="J20" s="329"/>
      <c r="K20" s="329"/>
      <c r="L20" s="329"/>
      <c r="M20" s="330"/>
      <c r="N20" s="209" t="s">
        <v>23</v>
      </c>
      <c r="O20" s="210"/>
    </row>
    <row r="21" spans="1:15" x14ac:dyDescent="0.35">
      <c r="A21" s="105">
        <v>2</v>
      </c>
      <c r="B21" s="221">
        <v>46047</v>
      </c>
      <c r="C21" s="142" t="s">
        <v>240</v>
      </c>
      <c r="D21" s="108" t="s">
        <v>135</v>
      </c>
      <c r="E21" s="164" t="s">
        <v>136</v>
      </c>
      <c r="F21" s="105" t="s">
        <v>137</v>
      </c>
      <c r="G21" s="108">
        <v>260</v>
      </c>
      <c r="I21" s="102"/>
      <c r="O21" s="103"/>
    </row>
    <row r="22" spans="1:15" ht="29" x14ac:dyDescent="0.35">
      <c r="A22" s="105">
        <v>3</v>
      </c>
      <c r="B22" s="221">
        <v>46051</v>
      </c>
      <c r="C22" s="142" t="s">
        <v>215</v>
      </c>
      <c r="D22" s="108" t="s">
        <v>135</v>
      </c>
      <c r="E22" s="164" t="s">
        <v>136</v>
      </c>
      <c r="F22" s="105" t="s">
        <v>138</v>
      </c>
      <c r="G22" s="105">
        <v>20</v>
      </c>
      <c r="I22" s="110"/>
      <c r="J22" s="176"/>
      <c r="K22" s="111"/>
      <c r="L22" s="111"/>
      <c r="M22" s="111"/>
      <c r="N22" s="111"/>
      <c r="O22" s="112"/>
    </row>
    <row r="23" spans="1:15" ht="29" x14ac:dyDescent="0.35">
      <c r="A23" s="105">
        <v>4</v>
      </c>
      <c r="B23" s="221">
        <v>46053</v>
      </c>
      <c r="C23" s="142" t="s">
        <v>224</v>
      </c>
      <c r="D23" s="108" t="s">
        <v>135</v>
      </c>
      <c r="E23" s="164" t="s">
        <v>136</v>
      </c>
      <c r="F23" s="105" t="s">
        <v>137</v>
      </c>
      <c r="G23" s="105">
        <v>80</v>
      </c>
      <c r="I23" s="113" t="s">
        <v>78</v>
      </c>
      <c r="J23" s="177"/>
      <c r="K23" s="47"/>
      <c r="L23" s="47" t="s">
        <v>79</v>
      </c>
      <c r="M23" s="47"/>
      <c r="N23" s="47" t="s">
        <v>80</v>
      </c>
      <c r="O23" s="114"/>
    </row>
    <row r="24" spans="1:15" ht="29.5" thickBot="1" x14ac:dyDescent="0.4">
      <c r="A24" s="105">
        <v>5</v>
      </c>
      <c r="B24" s="221">
        <v>46053</v>
      </c>
      <c r="C24" s="422" t="s">
        <v>244</v>
      </c>
      <c r="D24" s="108" t="s">
        <v>135</v>
      </c>
      <c r="E24" s="164" t="s">
        <v>136</v>
      </c>
      <c r="F24" s="105" t="s">
        <v>138</v>
      </c>
      <c r="G24" s="108">
        <v>20</v>
      </c>
      <c r="I24" s="124" t="s">
        <v>30</v>
      </c>
      <c r="J24" s="188"/>
      <c r="K24" s="125"/>
      <c r="L24" s="125" t="s">
        <v>81</v>
      </c>
      <c r="M24" s="126"/>
      <c r="N24" s="125" t="s">
        <v>82</v>
      </c>
      <c r="O24" s="127"/>
    </row>
    <row r="25" spans="1:15" x14ac:dyDescent="0.35">
      <c r="A25" s="302"/>
      <c r="B25" s="421"/>
      <c r="C25" s="417"/>
      <c r="D25" s="413"/>
      <c r="E25" s="414"/>
      <c r="F25" s="282"/>
      <c r="G25" s="210"/>
      <c r="I25" s="418"/>
      <c r="J25" s="419"/>
      <c r="K25" s="413"/>
      <c r="L25" s="413"/>
      <c r="M25" s="420"/>
      <c r="N25" s="413"/>
      <c r="O25" s="420"/>
    </row>
    <row r="26" spans="1:15" x14ac:dyDescent="0.35">
      <c r="A26" s="338"/>
      <c r="B26" s="339"/>
      <c r="C26" s="339"/>
      <c r="D26" s="339"/>
      <c r="E26" s="339"/>
      <c r="F26" s="108" t="s">
        <v>23</v>
      </c>
      <c r="G26" s="109">
        <f>SUM(G20:G24)</f>
        <v>580</v>
      </c>
    </row>
    <row r="27" spans="1:15" ht="15" thickBot="1" x14ac:dyDescent="0.4">
      <c r="A27" s="328"/>
      <c r="B27" s="329"/>
      <c r="C27" s="329"/>
      <c r="D27" s="329"/>
      <c r="E27" s="329"/>
      <c r="G27" s="103"/>
    </row>
    <row r="28" spans="1:15" x14ac:dyDescent="0.35">
      <c r="A28" s="110"/>
      <c r="B28" s="176"/>
      <c r="C28" s="111"/>
      <c r="D28" s="111"/>
      <c r="E28" s="111"/>
      <c r="F28" s="111"/>
      <c r="G28" s="112"/>
      <c r="I28" s="331" t="s">
        <v>0</v>
      </c>
      <c r="J28" s="332"/>
      <c r="K28" s="332"/>
      <c r="L28" s="332"/>
      <c r="M28" s="332"/>
      <c r="N28" s="332"/>
      <c r="O28" s="333"/>
    </row>
    <row r="29" spans="1:15" x14ac:dyDescent="0.35">
      <c r="A29" s="153" t="s">
        <v>78</v>
      </c>
      <c r="B29" s="177"/>
      <c r="C29" s="47"/>
      <c r="D29" s="47" t="s">
        <v>79</v>
      </c>
      <c r="E29" s="47"/>
      <c r="F29" s="47" t="s">
        <v>80</v>
      </c>
      <c r="G29" s="114"/>
      <c r="I29" s="334" t="s">
        <v>129</v>
      </c>
      <c r="J29" s="324"/>
      <c r="K29" s="324"/>
      <c r="L29" s="324"/>
      <c r="M29" s="324"/>
      <c r="N29" s="324"/>
      <c r="O29" s="335"/>
    </row>
    <row r="30" spans="1:15" ht="15" thickBot="1" x14ac:dyDescent="0.4">
      <c r="A30" s="412" t="s">
        <v>30</v>
      </c>
      <c r="B30" s="188"/>
      <c r="C30" s="125"/>
      <c r="D30" s="125" t="s">
        <v>81</v>
      </c>
      <c r="E30" s="126"/>
      <c r="F30" s="125" t="s">
        <v>82</v>
      </c>
      <c r="G30" s="127"/>
      <c r="I30" s="336" t="s">
        <v>83</v>
      </c>
      <c r="J30" s="337"/>
      <c r="K30" s="120" t="s">
        <v>125</v>
      </c>
      <c r="L30" s="120"/>
      <c r="M30" s="121"/>
      <c r="N30" s="122" t="s">
        <v>84</v>
      </c>
      <c r="O30" s="123" t="s">
        <v>122</v>
      </c>
    </row>
    <row r="31" spans="1:15" ht="15" thickBot="1" x14ac:dyDescent="0.4">
      <c r="I31" s="102"/>
      <c r="O31" s="103"/>
    </row>
    <row r="32" spans="1:15" x14ac:dyDescent="0.35">
      <c r="A32" s="331" t="s">
        <v>0</v>
      </c>
      <c r="B32" s="332"/>
      <c r="C32" s="332"/>
      <c r="D32" s="332"/>
      <c r="E32" s="332"/>
      <c r="F32" s="332"/>
      <c r="G32" s="333"/>
      <c r="H32" s="192" t="s">
        <v>128</v>
      </c>
      <c r="I32" s="104" t="s">
        <v>77</v>
      </c>
      <c r="J32" s="175" t="s">
        <v>36</v>
      </c>
      <c r="K32" s="105" t="s">
        <v>85</v>
      </c>
      <c r="L32" s="105" t="s">
        <v>86</v>
      </c>
      <c r="M32" s="105" t="s">
        <v>5</v>
      </c>
      <c r="N32" s="105" t="s">
        <v>87</v>
      </c>
      <c r="O32" s="106" t="s">
        <v>56</v>
      </c>
    </row>
    <row r="33" spans="1:15" x14ac:dyDescent="0.35">
      <c r="A33" s="334"/>
      <c r="B33" s="324"/>
      <c r="C33" s="324"/>
      <c r="D33" s="324"/>
      <c r="E33" s="324"/>
      <c r="F33" s="324"/>
      <c r="G33" s="335"/>
      <c r="I33" s="107">
        <v>1</v>
      </c>
      <c r="J33" s="144"/>
      <c r="K33" s="142"/>
      <c r="L33" s="108"/>
      <c r="M33" s="191"/>
      <c r="N33" s="105"/>
      <c r="O33" s="109"/>
    </row>
    <row r="34" spans="1:15" x14ac:dyDescent="0.35">
      <c r="A34" s="336" t="s">
        <v>83</v>
      </c>
      <c r="B34" s="337"/>
      <c r="C34" s="120" t="s">
        <v>127</v>
      </c>
      <c r="D34" s="120"/>
      <c r="E34" s="121"/>
      <c r="F34" s="122" t="s">
        <v>84</v>
      </c>
      <c r="G34" s="123" t="s">
        <v>118</v>
      </c>
      <c r="I34" s="107">
        <v>2</v>
      </c>
      <c r="J34" s="144"/>
      <c r="K34" s="105"/>
      <c r="L34" s="108"/>
      <c r="M34" s="191"/>
      <c r="N34" s="105"/>
      <c r="O34" s="109"/>
    </row>
    <row r="35" spans="1:15" x14ac:dyDescent="0.35">
      <c r="A35" s="153"/>
      <c r="G35" s="103"/>
      <c r="I35" s="107"/>
      <c r="J35" s="144"/>
      <c r="K35" s="142"/>
      <c r="L35" s="108"/>
      <c r="M35" s="191"/>
      <c r="N35" s="105"/>
      <c r="O35" s="109"/>
    </row>
    <row r="36" spans="1:15" x14ac:dyDescent="0.35">
      <c r="A36" s="104" t="s">
        <v>77</v>
      </c>
      <c r="B36" s="175" t="s">
        <v>36</v>
      </c>
      <c r="C36" s="105" t="s">
        <v>85</v>
      </c>
      <c r="D36" s="105" t="s">
        <v>86</v>
      </c>
      <c r="E36" s="105" t="s">
        <v>5</v>
      </c>
      <c r="F36" s="105" t="s">
        <v>87</v>
      </c>
      <c r="G36" s="106" t="s">
        <v>56</v>
      </c>
      <c r="I36" s="107"/>
      <c r="J36" s="214"/>
      <c r="K36" s="215"/>
      <c r="L36" s="215"/>
      <c r="M36" s="191"/>
      <c r="N36" s="213"/>
      <c r="O36" s="216"/>
    </row>
    <row r="37" spans="1:15" ht="29" x14ac:dyDescent="0.35">
      <c r="A37" s="104">
        <v>1</v>
      </c>
      <c r="B37" s="221">
        <v>46043</v>
      </c>
      <c r="C37" s="142" t="s">
        <v>213</v>
      </c>
      <c r="D37" s="105" t="s">
        <v>135</v>
      </c>
      <c r="E37" s="105" t="s">
        <v>136</v>
      </c>
      <c r="F37" s="105" t="s">
        <v>137</v>
      </c>
      <c r="G37" s="106">
        <v>20</v>
      </c>
      <c r="I37" s="107"/>
      <c r="J37" s="211"/>
      <c r="K37" s="99"/>
      <c r="L37" s="99"/>
      <c r="M37" s="99"/>
      <c r="N37" s="99"/>
      <c r="O37" s="99"/>
    </row>
    <row r="38" spans="1:15" x14ac:dyDescent="0.35">
      <c r="A38" s="107">
        <v>2</v>
      </c>
      <c r="B38" s="221">
        <v>46044</v>
      </c>
      <c r="C38" s="142" t="s">
        <v>217</v>
      </c>
      <c r="D38" s="108" t="s">
        <v>135</v>
      </c>
      <c r="E38" s="164" t="s">
        <v>136</v>
      </c>
      <c r="F38" s="105" t="s">
        <v>137</v>
      </c>
      <c r="G38" s="109">
        <v>220</v>
      </c>
      <c r="I38" s="107"/>
      <c r="J38" s="144"/>
      <c r="K38" s="108"/>
      <c r="L38" s="108"/>
      <c r="M38" s="108"/>
      <c r="N38" s="108" t="s">
        <v>23</v>
      </c>
      <c r="O38" s="109">
        <f>SUM(O33:O36)</f>
        <v>0</v>
      </c>
    </row>
    <row r="39" spans="1:15" ht="29" x14ac:dyDescent="0.35">
      <c r="A39" s="107">
        <v>3</v>
      </c>
      <c r="B39" s="221">
        <v>46047</v>
      </c>
      <c r="C39" s="142" t="s">
        <v>213</v>
      </c>
      <c r="D39" s="108" t="s">
        <v>135</v>
      </c>
      <c r="E39" s="164" t="s">
        <v>136</v>
      </c>
      <c r="F39" s="105" t="s">
        <v>138</v>
      </c>
      <c r="G39" s="109">
        <v>20</v>
      </c>
      <c r="I39" s="102"/>
      <c r="O39" s="103"/>
    </row>
    <row r="40" spans="1:15" ht="29" x14ac:dyDescent="0.35">
      <c r="A40" s="107">
        <v>4</v>
      </c>
      <c r="B40" s="221">
        <v>46047</v>
      </c>
      <c r="C40" s="142" t="s">
        <v>224</v>
      </c>
      <c r="D40" s="108" t="s">
        <v>135</v>
      </c>
      <c r="E40" s="164" t="s">
        <v>136</v>
      </c>
      <c r="F40" s="105" t="s">
        <v>137</v>
      </c>
      <c r="G40" s="109">
        <v>100</v>
      </c>
      <c r="I40" s="102"/>
      <c r="O40" s="103"/>
    </row>
    <row r="41" spans="1:15" ht="29" x14ac:dyDescent="0.35">
      <c r="A41" s="107">
        <v>5</v>
      </c>
      <c r="B41" s="221">
        <v>46047</v>
      </c>
      <c r="C41" s="142" t="s">
        <v>215</v>
      </c>
      <c r="D41" s="108" t="s">
        <v>135</v>
      </c>
      <c r="E41" s="164" t="s">
        <v>136</v>
      </c>
      <c r="F41" s="105" t="s">
        <v>138</v>
      </c>
      <c r="G41" s="109">
        <v>20</v>
      </c>
      <c r="I41" s="102"/>
      <c r="O41" s="103"/>
    </row>
    <row r="42" spans="1:15" x14ac:dyDescent="0.35">
      <c r="A42" s="107">
        <v>6</v>
      </c>
      <c r="B42" s="221">
        <v>46048</v>
      </c>
      <c r="C42" s="142" t="s">
        <v>233</v>
      </c>
      <c r="D42" s="108" t="s">
        <v>135</v>
      </c>
      <c r="E42" s="164" t="s">
        <v>136</v>
      </c>
      <c r="F42" s="105" t="s">
        <v>137</v>
      </c>
      <c r="G42" s="109">
        <v>200</v>
      </c>
      <c r="I42" s="102"/>
      <c r="O42" s="103"/>
    </row>
    <row r="43" spans="1:15" ht="29" x14ac:dyDescent="0.35">
      <c r="A43" s="107">
        <v>7</v>
      </c>
      <c r="B43" s="221">
        <v>46049</v>
      </c>
      <c r="C43" s="142" t="s">
        <v>224</v>
      </c>
      <c r="D43" s="108" t="s">
        <v>135</v>
      </c>
      <c r="E43" s="164" t="s">
        <v>136</v>
      </c>
      <c r="F43" s="105" t="s">
        <v>137</v>
      </c>
      <c r="G43" s="109">
        <v>100</v>
      </c>
      <c r="I43" s="102"/>
      <c r="O43" s="103"/>
    </row>
    <row r="44" spans="1:15" ht="29" x14ac:dyDescent="0.35">
      <c r="A44" s="107">
        <v>8</v>
      </c>
      <c r="B44" s="221">
        <v>46050</v>
      </c>
      <c r="C44" s="142" t="s">
        <v>231</v>
      </c>
      <c r="D44" s="108" t="s">
        <v>135</v>
      </c>
      <c r="E44" s="164" t="s">
        <v>136</v>
      </c>
      <c r="F44" s="105" t="s">
        <v>137</v>
      </c>
      <c r="G44" s="109">
        <v>260</v>
      </c>
      <c r="I44" s="102"/>
      <c r="O44" s="103"/>
    </row>
    <row r="45" spans="1:15" x14ac:dyDescent="0.35">
      <c r="A45" s="107">
        <v>9</v>
      </c>
      <c r="B45" s="221">
        <v>46051</v>
      </c>
      <c r="C45" s="142" t="s">
        <v>233</v>
      </c>
      <c r="D45" s="108" t="s">
        <v>135</v>
      </c>
      <c r="E45" s="164" t="s">
        <v>136</v>
      </c>
      <c r="F45" s="105" t="s">
        <v>137</v>
      </c>
      <c r="G45" s="109">
        <v>200</v>
      </c>
      <c r="I45" s="102"/>
      <c r="O45" s="103"/>
    </row>
    <row r="46" spans="1:15" ht="29" x14ac:dyDescent="0.35">
      <c r="A46" s="107">
        <v>10</v>
      </c>
      <c r="B46" s="221">
        <v>46053</v>
      </c>
      <c r="C46" s="142" t="s">
        <v>243</v>
      </c>
      <c r="D46" s="108" t="s">
        <v>135</v>
      </c>
      <c r="E46" s="164" t="s">
        <v>136</v>
      </c>
      <c r="F46" s="105" t="s">
        <v>137</v>
      </c>
      <c r="G46" s="109">
        <v>220</v>
      </c>
      <c r="I46" s="102"/>
      <c r="O46" s="103"/>
    </row>
    <row r="47" spans="1:15" x14ac:dyDescent="0.35">
      <c r="A47" s="340"/>
      <c r="B47" s="341"/>
      <c r="C47" s="341"/>
      <c r="D47" s="341"/>
      <c r="E47" s="341"/>
      <c r="F47" s="342"/>
      <c r="G47" s="109"/>
      <c r="I47" s="110"/>
      <c r="J47" s="176"/>
      <c r="K47" s="111"/>
      <c r="L47" s="111"/>
      <c r="M47" s="111"/>
      <c r="N47" s="111"/>
      <c r="O47" s="112"/>
    </row>
    <row r="48" spans="1:15" x14ac:dyDescent="0.35">
      <c r="A48" s="340"/>
      <c r="B48" s="341"/>
      <c r="C48" s="341"/>
      <c r="D48" s="341"/>
      <c r="E48" s="342"/>
      <c r="F48" s="108" t="s">
        <v>23</v>
      </c>
      <c r="G48" s="109">
        <f>SUM(G37:G47)</f>
        <v>1360</v>
      </c>
      <c r="I48" s="113" t="s">
        <v>78</v>
      </c>
      <c r="J48" s="177"/>
      <c r="K48" s="47"/>
      <c r="L48" s="47" t="s">
        <v>79</v>
      </c>
      <c r="M48" s="47"/>
      <c r="N48" s="47" t="s">
        <v>80</v>
      </c>
      <c r="O48" s="114"/>
    </row>
    <row r="49" spans="1:15" ht="15" thickBot="1" x14ac:dyDescent="0.4">
      <c r="A49" s="153"/>
      <c r="G49" s="103"/>
      <c r="I49" s="124" t="s">
        <v>30</v>
      </c>
      <c r="J49" s="188"/>
      <c r="K49" s="125"/>
      <c r="L49" s="125" t="s">
        <v>81</v>
      </c>
      <c r="M49" s="126"/>
      <c r="N49" s="125" t="s">
        <v>82</v>
      </c>
      <c r="O49" s="127"/>
    </row>
    <row r="50" spans="1:15" x14ac:dyDescent="0.35">
      <c r="A50" s="110"/>
      <c r="B50" s="176"/>
      <c r="D50" s="111"/>
      <c r="E50" s="111"/>
      <c r="F50" s="111"/>
      <c r="G50" s="112"/>
    </row>
    <row r="51" spans="1:15" x14ac:dyDescent="0.35">
      <c r="A51" s="153" t="s">
        <v>78</v>
      </c>
      <c r="B51" s="177"/>
      <c r="C51" s="47"/>
      <c r="D51" s="47" t="s">
        <v>79</v>
      </c>
      <c r="E51" s="47"/>
      <c r="F51" s="47" t="s">
        <v>80</v>
      </c>
      <c r="G51" s="114"/>
    </row>
    <row r="52" spans="1:15" ht="15" thickBot="1" x14ac:dyDescent="0.4">
      <c r="A52" s="412" t="s">
        <v>30</v>
      </c>
      <c r="B52" s="188"/>
      <c r="C52" s="125"/>
      <c r="D52" s="125" t="s">
        <v>81</v>
      </c>
      <c r="E52" s="126"/>
      <c r="F52" s="125" t="s">
        <v>82</v>
      </c>
      <c r="G52" s="127"/>
    </row>
    <row r="53" spans="1:15" ht="15" thickBot="1" x14ac:dyDescent="0.4"/>
    <row r="54" spans="1:15" x14ac:dyDescent="0.35">
      <c r="A54" s="331" t="s">
        <v>0</v>
      </c>
      <c r="B54" s="332"/>
      <c r="C54" s="332"/>
      <c r="D54" s="332"/>
      <c r="E54" s="332"/>
      <c r="F54" s="332"/>
      <c r="G54" s="333"/>
    </row>
    <row r="55" spans="1:15" x14ac:dyDescent="0.35">
      <c r="A55" s="334"/>
      <c r="B55" s="324"/>
      <c r="C55" s="324"/>
      <c r="D55" s="324"/>
      <c r="E55" s="324"/>
      <c r="F55" s="324"/>
      <c r="G55" s="335"/>
    </row>
    <row r="56" spans="1:15" x14ac:dyDescent="0.35">
      <c r="A56" s="336" t="s">
        <v>83</v>
      </c>
      <c r="B56" s="337"/>
      <c r="C56" s="120" t="s">
        <v>245</v>
      </c>
      <c r="D56" s="120"/>
      <c r="E56" s="121"/>
      <c r="F56" s="122" t="s">
        <v>84</v>
      </c>
      <c r="G56" s="123" t="s">
        <v>122</v>
      </c>
    </row>
    <row r="57" spans="1:15" x14ac:dyDescent="0.35">
      <c r="A57" s="153"/>
      <c r="G57" s="103"/>
    </row>
    <row r="58" spans="1:15" x14ac:dyDescent="0.35">
      <c r="A58" s="104" t="s">
        <v>77</v>
      </c>
      <c r="B58" s="175" t="s">
        <v>36</v>
      </c>
      <c r="C58" s="105" t="s">
        <v>85</v>
      </c>
      <c r="D58" s="105" t="s">
        <v>86</v>
      </c>
      <c r="E58" s="105" t="s">
        <v>5</v>
      </c>
      <c r="F58" s="105" t="s">
        <v>87</v>
      </c>
      <c r="G58" s="106" t="s">
        <v>56</v>
      </c>
    </row>
    <row r="59" spans="1:15" ht="29" x14ac:dyDescent="0.35">
      <c r="A59" s="208">
        <v>1</v>
      </c>
      <c r="B59" s="411">
        <v>46043</v>
      </c>
      <c r="C59" s="142" t="s">
        <v>229</v>
      </c>
      <c r="D59" s="108" t="s">
        <v>135</v>
      </c>
      <c r="E59" s="215" t="s">
        <v>136</v>
      </c>
      <c r="F59" s="105" t="s">
        <v>138</v>
      </c>
      <c r="G59" s="106">
        <v>40</v>
      </c>
    </row>
    <row r="60" spans="1:15" ht="29" x14ac:dyDescent="0.35">
      <c r="A60" s="108">
        <v>2</v>
      </c>
      <c r="B60" s="415">
        <v>46043</v>
      </c>
      <c r="C60" s="157" t="s">
        <v>215</v>
      </c>
      <c r="D60" s="108" t="s">
        <v>135</v>
      </c>
      <c r="E60" s="108" t="s">
        <v>136</v>
      </c>
      <c r="F60" s="105" t="s">
        <v>138</v>
      </c>
      <c r="G60" s="108">
        <v>20</v>
      </c>
    </row>
    <row r="61" spans="1:15" x14ac:dyDescent="0.35">
      <c r="A61" s="416"/>
      <c r="B61" s="341"/>
      <c r="C61" s="341"/>
      <c r="D61" s="341"/>
      <c r="E61" s="341"/>
      <c r="F61" s="342"/>
      <c r="G61" s="99"/>
    </row>
    <row r="62" spans="1:15" x14ac:dyDescent="0.35">
      <c r="A62" s="328"/>
      <c r="B62" s="329"/>
      <c r="C62" s="329"/>
      <c r="D62" s="329"/>
      <c r="E62" s="330"/>
      <c r="F62" s="209" t="s">
        <v>23</v>
      </c>
      <c r="G62" s="210">
        <f>SUM(G59:G60)</f>
        <v>60</v>
      </c>
    </row>
    <row r="63" spans="1:15" x14ac:dyDescent="0.35">
      <c r="A63" s="153"/>
      <c r="G63" s="103"/>
    </row>
    <row r="64" spans="1:15" x14ac:dyDescent="0.35">
      <c r="A64" s="110"/>
      <c r="B64" s="176"/>
      <c r="C64" s="111"/>
      <c r="D64" s="111"/>
      <c r="E64" s="111"/>
      <c r="F64" s="111"/>
      <c r="G64" s="112"/>
    </row>
    <row r="65" spans="1:7" x14ac:dyDescent="0.35">
      <c r="A65" s="153" t="s">
        <v>78</v>
      </c>
      <c r="B65" s="177"/>
      <c r="C65" s="47"/>
      <c r="D65" s="47" t="s">
        <v>79</v>
      </c>
      <c r="E65" s="47"/>
      <c r="F65" s="47" t="s">
        <v>80</v>
      </c>
      <c r="G65" s="114"/>
    </row>
    <row r="66" spans="1:7" ht="15" thickBot="1" x14ac:dyDescent="0.4">
      <c r="A66" s="412" t="s">
        <v>30</v>
      </c>
      <c r="B66" s="188"/>
      <c r="C66" s="125"/>
      <c r="D66" s="125" t="s">
        <v>81</v>
      </c>
      <c r="E66" s="126"/>
      <c r="F66" s="125" t="s">
        <v>82</v>
      </c>
      <c r="G66" s="127"/>
    </row>
    <row r="67" spans="1:7" ht="15" thickBot="1" x14ac:dyDescent="0.4"/>
    <row r="68" spans="1:7" x14ac:dyDescent="0.35">
      <c r="A68" s="331" t="s">
        <v>0</v>
      </c>
      <c r="B68" s="332"/>
      <c r="C68" s="332"/>
      <c r="D68" s="332"/>
      <c r="E68" s="332"/>
      <c r="F68" s="332"/>
      <c r="G68" s="333"/>
    </row>
    <row r="69" spans="1:7" x14ac:dyDescent="0.35">
      <c r="A69" s="334" t="s">
        <v>53</v>
      </c>
      <c r="B69" s="324"/>
      <c r="C69" s="324"/>
      <c r="D69" s="324"/>
      <c r="E69" s="324"/>
      <c r="F69" s="324"/>
      <c r="G69" s="335"/>
    </row>
    <row r="70" spans="1:7" x14ac:dyDescent="0.35">
      <c r="A70" s="336" t="s">
        <v>83</v>
      </c>
      <c r="B70" s="337"/>
      <c r="C70" s="120" t="s">
        <v>247</v>
      </c>
      <c r="D70" s="120"/>
      <c r="E70" s="121"/>
      <c r="F70" s="122" t="s">
        <v>84</v>
      </c>
      <c r="G70" s="123" t="s">
        <v>118</v>
      </c>
    </row>
    <row r="71" spans="1:7" x14ac:dyDescent="0.35">
      <c r="A71" s="153"/>
      <c r="G71" s="103"/>
    </row>
    <row r="72" spans="1:7" x14ac:dyDescent="0.35">
      <c r="A72" s="104" t="s">
        <v>77</v>
      </c>
      <c r="B72" s="175" t="s">
        <v>36</v>
      </c>
      <c r="C72" s="105" t="s">
        <v>85</v>
      </c>
      <c r="D72" s="105" t="s">
        <v>86</v>
      </c>
      <c r="E72" s="105" t="s">
        <v>5</v>
      </c>
      <c r="F72" s="105" t="s">
        <v>87</v>
      </c>
      <c r="G72" s="106" t="s">
        <v>56</v>
      </c>
    </row>
    <row r="73" spans="1:7" ht="15.5" x14ac:dyDescent="0.35">
      <c r="A73" s="104">
        <v>1</v>
      </c>
      <c r="B73" s="31">
        <v>46043</v>
      </c>
      <c r="C73" s="208" t="s">
        <v>135</v>
      </c>
      <c r="D73" s="108" t="s">
        <v>141</v>
      </c>
      <c r="E73" s="164" t="s">
        <v>146</v>
      </c>
      <c r="F73" s="105" t="s">
        <v>138</v>
      </c>
      <c r="G73" s="109">
        <v>40</v>
      </c>
    </row>
    <row r="74" spans="1:7" ht="15.5" x14ac:dyDescent="0.35">
      <c r="A74" s="107">
        <v>2</v>
      </c>
      <c r="B74" s="31">
        <v>46043</v>
      </c>
      <c r="C74" s="108" t="s">
        <v>141</v>
      </c>
      <c r="D74" s="208" t="s">
        <v>135</v>
      </c>
      <c r="E74" s="99" t="s">
        <v>146</v>
      </c>
      <c r="F74" s="208" t="s">
        <v>138</v>
      </c>
      <c r="G74" s="208">
        <v>250</v>
      </c>
    </row>
    <row r="75" spans="1:7" ht="15.5" x14ac:dyDescent="0.35">
      <c r="A75" s="104">
        <v>3</v>
      </c>
      <c r="B75" s="31">
        <v>46051</v>
      </c>
      <c r="C75" s="208" t="s">
        <v>135</v>
      </c>
      <c r="D75" s="108" t="s">
        <v>141</v>
      </c>
      <c r="E75" s="164" t="s">
        <v>146</v>
      </c>
      <c r="F75" s="105" t="s">
        <v>138</v>
      </c>
      <c r="G75" s="304">
        <v>70</v>
      </c>
    </row>
    <row r="76" spans="1:7" ht="15.5" x14ac:dyDescent="0.35">
      <c r="A76" s="107">
        <v>4</v>
      </c>
      <c r="B76" s="31">
        <v>46051</v>
      </c>
      <c r="C76" s="108" t="s">
        <v>141</v>
      </c>
      <c r="D76" s="208" t="s">
        <v>135</v>
      </c>
      <c r="E76" s="99" t="s">
        <v>146</v>
      </c>
      <c r="F76" s="208" t="s">
        <v>138</v>
      </c>
      <c r="G76" s="304">
        <v>500</v>
      </c>
    </row>
    <row r="77" spans="1:7" ht="15.5" customHeight="1" x14ac:dyDescent="0.35">
      <c r="A77" s="338"/>
      <c r="B77" s="339"/>
      <c r="C77" s="339"/>
      <c r="D77" s="339"/>
      <c r="E77" s="339"/>
      <c r="F77" s="342"/>
      <c r="G77" s="304"/>
    </row>
    <row r="78" spans="1:7" x14ac:dyDescent="0.35">
      <c r="A78" s="413"/>
      <c r="B78" s="419"/>
      <c r="C78" s="413"/>
      <c r="D78" s="413"/>
      <c r="E78" s="413"/>
      <c r="F78" s="303" t="s">
        <v>23</v>
      </c>
      <c r="G78" s="109">
        <f>SUM(G73:G77)</f>
        <v>860</v>
      </c>
    </row>
    <row r="79" spans="1:7" x14ac:dyDescent="0.35">
      <c r="A79" s="153"/>
      <c r="G79" s="103"/>
    </row>
    <row r="80" spans="1:7" x14ac:dyDescent="0.35">
      <c r="A80" s="110"/>
      <c r="B80" s="176"/>
      <c r="C80" s="111"/>
      <c r="D80" s="111"/>
      <c r="E80" s="111"/>
      <c r="F80" s="111"/>
      <c r="G80" s="112"/>
    </row>
    <row r="81" spans="1:11" x14ac:dyDescent="0.35">
      <c r="A81" s="153" t="s">
        <v>78</v>
      </c>
      <c r="B81" s="177"/>
      <c r="C81" s="47"/>
      <c r="D81" s="47" t="s">
        <v>79</v>
      </c>
      <c r="E81" s="47"/>
      <c r="F81" s="47" t="s">
        <v>80</v>
      </c>
      <c r="G81" s="114"/>
    </row>
    <row r="82" spans="1:11" ht="15" thickBot="1" x14ac:dyDescent="0.4">
      <c r="A82" s="412" t="s">
        <v>30</v>
      </c>
      <c r="B82" s="188"/>
      <c r="C82" s="125"/>
      <c r="D82" s="125" t="s">
        <v>81</v>
      </c>
      <c r="E82" s="126"/>
      <c r="F82" s="125" t="s">
        <v>82</v>
      </c>
      <c r="G82" s="127"/>
    </row>
    <row r="83" spans="1:11" ht="15" thickBot="1" x14ac:dyDescent="0.4"/>
    <row r="84" spans="1:11" x14ac:dyDescent="0.35">
      <c r="A84" s="331" t="s">
        <v>0</v>
      </c>
      <c r="B84" s="332"/>
      <c r="C84" s="332"/>
      <c r="D84" s="332"/>
      <c r="E84" s="332"/>
      <c r="F84" s="332"/>
      <c r="G84" s="333"/>
    </row>
    <row r="85" spans="1:11" x14ac:dyDescent="0.35">
      <c r="A85" s="334" t="s">
        <v>129</v>
      </c>
      <c r="B85" s="324"/>
      <c r="C85" s="324"/>
      <c r="D85" s="324"/>
      <c r="E85" s="324"/>
      <c r="F85" s="324"/>
      <c r="G85" s="335"/>
    </row>
    <row r="86" spans="1:11" x14ac:dyDescent="0.35">
      <c r="A86" s="336" t="s">
        <v>83</v>
      </c>
      <c r="B86" s="337"/>
      <c r="C86" s="120" t="s">
        <v>251</v>
      </c>
      <c r="D86" s="120"/>
      <c r="E86" s="121"/>
      <c r="F86" s="122" t="s">
        <v>84</v>
      </c>
      <c r="G86" s="123" t="s">
        <v>151</v>
      </c>
    </row>
    <row r="87" spans="1:11" x14ac:dyDescent="0.35">
      <c r="A87" s="153"/>
      <c r="G87" s="103"/>
    </row>
    <row r="88" spans="1:11" x14ac:dyDescent="0.35">
      <c r="A88" s="104" t="s">
        <v>77</v>
      </c>
      <c r="B88" s="175" t="s">
        <v>36</v>
      </c>
      <c r="C88" s="105" t="s">
        <v>85</v>
      </c>
      <c r="D88" s="105" t="s">
        <v>86</v>
      </c>
      <c r="E88" s="105" t="s">
        <v>5</v>
      </c>
      <c r="F88" s="105" t="s">
        <v>87</v>
      </c>
      <c r="G88" s="106" t="s">
        <v>56</v>
      </c>
    </row>
    <row r="89" spans="1:11" x14ac:dyDescent="0.35">
      <c r="A89" s="107">
        <v>1</v>
      </c>
      <c r="B89" s="144">
        <v>46045</v>
      </c>
      <c r="C89" s="142" t="s">
        <v>135</v>
      </c>
      <c r="D89" s="108" t="s">
        <v>141</v>
      </c>
      <c r="E89" s="191" t="s">
        <v>135</v>
      </c>
      <c r="F89" s="105" t="s">
        <v>138</v>
      </c>
      <c r="G89" s="108">
        <v>60</v>
      </c>
    </row>
    <row r="90" spans="1:11" x14ac:dyDescent="0.35">
      <c r="A90" s="107">
        <v>2</v>
      </c>
      <c r="B90" s="144">
        <v>46045</v>
      </c>
      <c r="C90" s="108" t="s">
        <v>141</v>
      </c>
      <c r="D90" s="108" t="s">
        <v>135</v>
      </c>
      <c r="E90" s="191" t="s">
        <v>135</v>
      </c>
      <c r="F90" s="105" t="s">
        <v>138</v>
      </c>
      <c r="G90" s="108">
        <v>240</v>
      </c>
      <c r="I90" s="142" t="s">
        <v>135</v>
      </c>
      <c r="J90" s="108" t="s">
        <v>141</v>
      </c>
      <c r="K90" s="191" t="s">
        <v>135</v>
      </c>
    </row>
    <row r="91" spans="1:11" x14ac:dyDescent="0.35">
      <c r="A91" s="107">
        <v>3</v>
      </c>
      <c r="B91" s="144">
        <v>46046</v>
      </c>
      <c r="C91" s="142" t="s">
        <v>135</v>
      </c>
      <c r="D91" s="108" t="s">
        <v>250</v>
      </c>
      <c r="E91" s="191" t="s">
        <v>135</v>
      </c>
      <c r="F91" s="105" t="s">
        <v>138</v>
      </c>
      <c r="G91" s="108">
        <v>150</v>
      </c>
      <c r="I91" s="108" t="s">
        <v>141</v>
      </c>
      <c r="J91" s="108" t="s">
        <v>135</v>
      </c>
      <c r="K91" s="191" t="s">
        <v>135</v>
      </c>
    </row>
    <row r="92" spans="1:11" x14ac:dyDescent="0.35">
      <c r="A92" s="107">
        <v>4</v>
      </c>
      <c r="B92" s="144">
        <v>46046</v>
      </c>
      <c r="C92" s="108" t="s">
        <v>250</v>
      </c>
      <c r="D92" s="108" t="s">
        <v>135</v>
      </c>
      <c r="E92" s="164" t="s">
        <v>135</v>
      </c>
      <c r="F92" s="105" t="s">
        <v>138</v>
      </c>
      <c r="G92" s="108">
        <v>20</v>
      </c>
      <c r="I92" s="142" t="s">
        <v>135</v>
      </c>
      <c r="J92" s="108" t="s">
        <v>250</v>
      </c>
      <c r="K92" s="191" t="s">
        <v>135</v>
      </c>
    </row>
    <row r="93" spans="1:11" x14ac:dyDescent="0.35">
      <c r="A93" s="107">
        <v>5</v>
      </c>
      <c r="B93" s="144">
        <v>46046</v>
      </c>
      <c r="C93" s="142" t="s">
        <v>135</v>
      </c>
      <c r="D93" s="108" t="s">
        <v>141</v>
      </c>
      <c r="E93" s="191" t="s">
        <v>135</v>
      </c>
      <c r="F93" s="105" t="s">
        <v>138</v>
      </c>
      <c r="G93" s="108">
        <v>160</v>
      </c>
    </row>
    <row r="94" spans="1:11" x14ac:dyDescent="0.35">
      <c r="A94" s="107">
        <v>6</v>
      </c>
      <c r="B94" s="144">
        <v>46046</v>
      </c>
      <c r="C94" s="108" t="s">
        <v>141</v>
      </c>
      <c r="D94" s="108" t="s">
        <v>135</v>
      </c>
      <c r="E94" s="191" t="s">
        <v>135</v>
      </c>
      <c r="F94" s="105" t="s">
        <v>138</v>
      </c>
      <c r="G94" s="108">
        <v>40</v>
      </c>
    </row>
    <row r="95" spans="1:11" x14ac:dyDescent="0.35">
      <c r="A95" s="107">
        <v>7</v>
      </c>
      <c r="B95" s="144">
        <v>46047</v>
      </c>
      <c r="C95" s="142" t="s">
        <v>135</v>
      </c>
      <c r="D95" s="108" t="s">
        <v>141</v>
      </c>
      <c r="E95" s="191" t="s">
        <v>135</v>
      </c>
      <c r="F95" s="105" t="s">
        <v>138</v>
      </c>
      <c r="G95" s="108">
        <v>50</v>
      </c>
    </row>
    <row r="96" spans="1:11" x14ac:dyDescent="0.35">
      <c r="A96" s="107">
        <v>8</v>
      </c>
      <c r="B96" s="144">
        <v>46049</v>
      </c>
      <c r="C96" s="142" t="s">
        <v>135</v>
      </c>
      <c r="D96" s="108" t="s">
        <v>141</v>
      </c>
      <c r="E96" s="191" t="s">
        <v>135</v>
      </c>
      <c r="F96" s="105" t="s">
        <v>138</v>
      </c>
      <c r="G96" s="108">
        <v>40</v>
      </c>
    </row>
    <row r="97" spans="1:7" x14ac:dyDescent="0.35">
      <c r="A97" s="107">
        <v>9</v>
      </c>
      <c r="B97" s="144">
        <v>46049</v>
      </c>
      <c r="C97" s="108" t="s">
        <v>141</v>
      </c>
      <c r="D97" s="108" t="s">
        <v>135</v>
      </c>
      <c r="E97" s="191" t="s">
        <v>135</v>
      </c>
      <c r="F97" s="105" t="s">
        <v>138</v>
      </c>
      <c r="G97" s="108">
        <v>40</v>
      </c>
    </row>
    <row r="98" spans="1:7" x14ac:dyDescent="0.35">
      <c r="A98" s="107">
        <v>10</v>
      </c>
      <c r="B98" s="144">
        <v>46050</v>
      </c>
      <c r="C98" s="142" t="s">
        <v>135</v>
      </c>
      <c r="D98" s="108" t="s">
        <v>141</v>
      </c>
      <c r="E98" s="191" t="s">
        <v>135</v>
      </c>
      <c r="F98" s="105" t="s">
        <v>138</v>
      </c>
      <c r="G98" s="108">
        <v>60</v>
      </c>
    </row>
    <row r="99" spans="1:7" x14ac:dyDescent="0.35">
      <c r="A99" s="107">
        <v>11</v>
      </c>
      <c r="B99" s="144">
        <v>46050</v>
      </c>
      <c r="C99" s="108" t="s">
        <v>141</v>
      </c>
      <c r="D99" s="108" t="s">
        <v>135</v>
      </c>
      <c r="E99" s="191" t="s">
        <v>135</v>
      </c>
      <c r="F99" s="105" t="s">
        <v>138</v>
      </c>
      <c r="G99" s="108">
        <v>240</v>
      </c>
    </row>
    <row r="100" spans="1:7" x14ac:dyDescent="0.35">
      <c r="A100" s="107">
        <v>12</v>
      </c>
      <c r="B100" s="144">
        <v>46051</v>
      </c>
      <c r="C100" s="142" t="s">
        <v>135</v>
      </c>
      <c r="D100" s="108" t="s">
        <v>250</v>
      </c>
      <c r="E100" s="191" t="s">
        <v>135</v>
      </c>
      <c r="F100" s="105" t="s">
        <v>138</v>
      </c>
      <c r="G100" s="108">
        <v>160</v>
      </c>
    </row>
    <row r="101" spans="1:7" x14ac:dyDescent="0.35">
      <c r="A101" s="107">
        <v>13</v>
      </c>
      <c r="B101" s="144">
        <v>46051</v>
      </c>
      <c r="C101" s="108" t="s">
        <v>250</v>
      </c>
      <c r="D101" s="108" t="s">
        <v>135</v>
      </c>
      <c r="E101" s="164" t="s">
        <v>135</v>
      </c>
      <c r="F101" s="105" t="s">
        <v>138</v>
      </c>
      <c r="G101" s="108">
        <v>40</v>
      </c>
    </row>
    <row r="102" spans="1:7" x14ac:dyDescent="0.35">
      <c r="A102" s="343"/>
      <c r="B102" s="344"/>
      <c r="C102" s="344"/>
      <c r="D102" s="344"/>
      <c r="E102" s="344"/>
      <c r="F102" s="345"/>
      <c r="G102" s="99"/>
    </row>
    <row r="103" spans="1:7" x14ac:dyDescent="0.35">
      <c r="A103" s="153"/>
      <c r="C103" s="181"/>
      <c r="D103" s="111"/>
      <c r="E103" s="162"/>
      <c r="F103" s="192" t="s">
        <v>143</v>
      </c>
      <c r="G103" s="114">
        <f>SUM(G89:G101)</f>
        <v>1300</v>
      </c>
    </row>
    <row r="104" spans="1:7" x14ac:dyDescent="0.35">
      <c r="A104" s="153"/>
      <c r="C104" s="181"/>
      <c r="D104" s="111"/>
      <c r="E104" s="162"/>
      <c r="G104" s="103"/>
    </row>
    <row r="105" spans="1:7" x14ac:dyDescent="0.35">
      <c r="A105" s="153"/>
      <c r="C105" s="181"/>
      <c r="D105" s="111"/>
      <c r="E105" s="162"/>
      <c r="G105" s="103"/>
    </row>
    <row r="106" spans="1:7" x14ac:dyDescent="0.35">
      <c r="A106" s="153"/>
      <c r="C106" s="181"/>
      <c r="D106" s="111"/>
      <c r="E106" s="162"/>
      <c r="G106" s="103"/>
    </row>
    <row r="107" spans="1:7" x14ac:dyDescent="0.35">
      <c r="A107" s="110"/>
      <c r="B107" s="176"/>
      <c r="C107" s="111"/>
      <c r="D107" s="111"/>
      <c r="E107" s="111"/>
      <c r="F107" s="111"/>
      <c r="G107" s="112"/>
    </row>
    <row r="108" spans="1:7" x14ac:dyDescent="0.35">
      <c r="A108" s="153" t="s">
        <v>78</v>
      </c>
      <c r="B108" s="177"/>
      <c r="C108" s="47"/>
      <c r="D108" s="47" t="s">
        <v>79</v>
      </c>
      <c r="E108" s="47"/>
      <c r="F108" s="47" t="s">
        <v>80</v>
      </c>
      <c r="G108" s="114"/>
    </row>
    <row r="109" spans="1:7" ht="15" thickBot="1" x14ac:dyDescent="0.4">
      <c r="A109" s="412" t="s">
        <v>30</v>
      </c>
      <c r="B109" s="188"/>
      <c r="C109" s="125"/>
      <c r="D109" s="125" t="s">
        <v>81</v>
      </c>
      <c r="E109" s="126"/>
      <c r="F109" s="125" t="s">
        <v>82</v>
      </c>
      <c r="G109" s="127"/>
    </row>
    <row r="111" spans="1:7" ht="15" thickBot="1" x14ac:dyDescent="0.4"/>
    <row r="112" spans="1:7" x14ac:dyDescent="0.35">
      <c r="A112" s="331" t="s">
        <v>0</v>
      </c>
      <c r="B112" s="332"/>
      <c r="C112" s="332"/>
      <c r="D112" s="332"/>
      <c r="E112" s="332"/>
      <c r="F112" s="332"/>
      <c r="G112" s="333"/>
    </row>
    <row r="113" spans="1:7" x14ac:dyDescent="0.35">
      <c r="A113" s="334" t="s">
        <v>163</v>
      </c>
      <c r="B113" s="324"/>
      <c r="C113" s="324"/>
      <c r="D113" s="324"/>
      <c r="E113" s="324"/>
      <c r="F113" s="324"/>
      <c r="G113" s="335"/>
    </row>
    <row r="114" spans="1:7" x14ac:dyDescent="0.35">
      <c r="A114" s="336" t="s">
        <v>83</v>
      </c>
      <c r="B114" s="337"/>
      <c r="C114" s="120" t="s">
        <v>127</v>
      </c>
      <c r="D114" s="120"/>
      <c r="E114" s="121"/>
      <c r="F114" s="122" t="s">
        <v>84</v>
      </c>
      <c r="G114" s="123" t="s">
        <v>118</v>
      </c>
    </row>
    <row r="115" spans="1:7" x14ac:dyDescent="0.35">
      <c r="A115" s="153"/>
      <c r="G115" s="103"/>
    </row>
    <row r="116" spans="1:7" x14ac:dyDescent="0.35">
      <c r="A116" s="104" t="s">
        <v>77</v>
      </c>
      <c r="B116" s="175" t="s">
        <v>36</v>
      </c>
      <c r="C116" s="105" t="s">
        <v>85</v>
      </c>
      <c r="D116" s="105" t="s">
        <v>86</v>
      </c>
      <c r="E116" s="105" t="s">
        <v>5</v>
      </c>
      <c r="F116" s="105" t="s">
        <v>87</v>
      </c>
      <c r="G116" s="106" t="s">
        <v>56</v>
      </c>
    </row>
    <row r="117" spans="1:7" ht="15.5" x14ac:dyDescent="0.35">
      <c r="A117" s="104">
        <v>1</v>
      </c>
      <c r="B117" s="31"/>
      <c r="C117" s="142"/>
      <c r="D117" s="108" t="s">
        <v>141</v>
      </c>
      <c r="E117" s="164" t="s">
        <v>146</v>
      </c>
      <c r="F117" s="105" t="s">
        <v>138</v>
      </c>
      <c r="G117" s="109"/>
    </row>
    <row r="118" spans="1:7" ht="15.5" x14ac:dyDescent="0.35">
      <c r="A118" s="107">
        <v>2</v>
      </c>
      <c r="B118" s="31"/>
      <c r="C118" s="108"/>
      <c r="D118" s="208" t="s">
        <v>135</v>
      </c>
      <c r="E118" s="99" t="s">
        <v>146</v>
      </c>
      <c r="F118" s="208" t="s">
        <v>138</v>
      </c>
      <c r="G118" s="208"/>
    </row>
    <row r="119" spans="1:7" x14ac:dyDescent="0.35">
      <c r="A119" s="107"/>
      <c r="B119" s="144"/>
      <c r="C119" s="108"/>
      <c r="D119" s="108"/>
      <c r="E119" s="108"/>
      <c r="F119" s="108" t="s">
        <v>23</v>
      </c>
      <c r="G119" s="109">
        <f>SUM(G117:G118)</f>
        <v>0</v>
      </c>
    </row>
    <row r="120" spans="1:7" x14ac:dyDescent="0.35">
      <c r="A120" s="153"/>
      <c r="G120" s="103"/>
    </row>
    <row r="121" spans="1:7" x14ac:dyDescent="0.35">
      <c r="A121" s="110"/>
      <c r="B121" s="176"/>
      <c r="C121" s="111"/>
      <c r="D121" s="111"/>
      <c r="E121" s="111"/>
      <c r="F121" s="111"/>
      <c r="G121" s="112"/>
    </row>
    <row r="122" spans="1:7" x14ac:dyDescent="0.35">
      <c r="A122" s="153" t="s">
        <v>78</v>
      </c>
      <c r="B122" s="177"/>
      <c r="C122" s="47"/>
      <c r="D122" s="47" t="s">
        <v>79</v>
      </c>
      <c r="E122" s="47"/>
      <c r="F122" s="47" t="s">
        <v>80</v>
      </c>
      <c r="G122" s="114"/>
    </row>
    <row r="123" spans="1:7" ht="15" thickBot="1" x14ac:dyDescent="0.4">
      <c r="A123" s="412" t="s">
        <v>30</v>
      </c>
      <c r="B123" s="188"/>
      <c r="C123" s="125"/>
      <c r="D123" s="125" t="s">
        <v>81</v>
      </c>
      <c r="E123" s="126"/>
      <c r="F123" s="125" t="s">
        <v>82</v>
      </c>
      <c r="G123" s="127"/>
    </row>
  </sheetData>
  <mergeCells count="39">
    <mergeCell ref="A47:F47"/>
    <mergeCell ref="A9:F9"/>
    <mergeCell ref="A77:F77"/>
    <mergeCell ref="A112:G112"/>
    <mergeCell ref="A113:G113"/>
    <mergeCell ref="A114:B114"/>
    <mergeCell ref="A48:E48"/>
    <mergeCell ref="A102:F102"/>
    <mergeCell ref="A86:B86"/>
    <mergeCell ref="A85:G85"/>
    <mergeCell ref="A54:G54"/>
    <mergeCell ref="A55:G55"/>
    <mergeCell ref="A56:B56"/>
    <mergeCell ref="A62:E62"/>
    <mergeCell ref="A84:G84"/>
    <mergeCell ref="A70:B70"/>
    <mergeCell ref="A69:G69"/>
    <mergeCell ref="A68:G68"/>
    <mergeCell ref="A61:F61"/>
    <mergeCell ref="I14:J14"/>
    <mergeCell ref="I1:O1"/>
    <mergeCell ref="I2:O2"/>
    <mergeCell ref="I3:J3"/>
    <mergeCell ref="A15:G15"/>
    <mergeCell ref="I12:O12"/>
    <mergeCell ref="I13:O13"/>
    <mergeCell ref="A34:B34"/>
    <mergeCell ref="A33:G33"/>
    <mergeCell ref="A32:G32"/>
    <mergeCell ref="A1:G1"/>
    <mergeCell ref="A2:G2"/>
    <mergeCell ref="A3:B3"/>
    <mergeCell ref="A17:B17"/>
    <mergeCell ref="A16:G16"/>
    <mergeCell ref="I20:M20"/>
    <mergeCell ref="I28:O28"/>
    <mergeCell ref="I29:O29"/>
    <mergeCell ref="I30:J30"/>
    <mergeCell ref="A26:E27"/>
  </mergeCells>
  <pageMargins left="0.7" right="0.7" top="0.75" bottom="0.75" header="0.3" footer="0.3"/>
  <pageSetup scale="3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I11" sqref="I11"/>
    </sheetView>
  </sheetViews>
  <sheetFormatPr defaultRowHeight="14.5" x14ac:dyDescent="0.35"/>
  <cols>
    <col min="1" max="1" width="20.26953125" customWidth="1"/>
    <col min="2" max="2" width="17.26953125" style="47" customWidth="1"/>
    <col min="3" max="3" width="19.26953125" bestFit="1" customWidth="1"/>
    <col min="7" max="7" width="12.54296875" customWidth="1"/>
    <col min="8" max="8" width="10.26953125" customWidth="1"/>
  </cols>
  <sheetData>
    <row r="1" spans="1:12" x14ac:dyDescent="0.35">
      <c r="A1" s="319" t="s">
        <v>53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</row>
    <row r="2" spans="1:12" x14ac:dyDescent="0.35">
      <c r="A2" s="25"/>
      <c r="B2" s="24"/>
      <c r="C2" s="26"/>
      <c r="D2" s="26"/>
      <c r="E2" s="27"/>
      <c r="F2" s="27"/>
      <c r="G2" s="320" t="s">
        <v>35</v>
      </c>
      <c r="H2" s="321"/>
      <c r="I2" s="321"/>
      <c r="J2" s="321"/>
      <c r="K2" s="322"/>
      <c r="L2" s="24"/>
    </row>
    <row r="3" spans="1:12" ht="21" x14ac:dyDescent="0.35">
      <c r="A3" s="138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SUM(D5:D101)</f>
        <v>3971.6</v>
      </c>
      <c r="E4" s="30">
        <f>SUM(E5:E101)</f>
        <v>450</v>
      </c>
      <c r="F4" s="30">
        <f>SUM(F5:F101)</f>
        <v>750</v>
      </c>
      <c r="G4" s="30"/>
      <c r="H4" s="30">
        <f>SUM(H5:H101)</f>
        <v>110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1310</v>
      </c>
    </row>
    <row r="5" spans="1:12" s="244" customFormat="1" ht="26.25" customHeight="1" x14ac:dyDescent="0.35">
      <c r="A5" s="249">
        <v>46043</v>
      </c>
      <c r="B5" s="243">
        <v>10943</v>
      </c>
      <c r="C5" s="243" t="s">
        <v>177</v>
      </c>
      <c r="D5" s="243">
        <v>240</v>
      </c>
      <c r="E5" s="243"/>
      <c r="F5" s="243">
        <v>250</v>
      </c>
      <c r="G5" s="243" t="s">
        <v>175</v>
      </c>
      <c r="H5" s="243">
        <v>40</v>
      </c>
      <c r="I5" s="243"/>
      <c r="J5" s="243"/>
      <c r="K5" s="243"/>
      <c r="L5" s="243"/>
    </row>
    <row r="6" spans="1:12" x14ac:dyDescent="0.35">
      <c r="A6" s="249">
        <v>46043</v>
      </c>
      <c r="B6" s="250">
        <v>10957</v>
      </c>
      <c r="C6" s="243" t="s">
        <v>177</v>
      </c>
      <c r="D6" s="250">
        <v>114</v>
      </c>
      <c r="E6" s="346">
        <v>400</v>
      </c>
      <c r="F6" s="346"/>
      <c r="G6" s="424" t="s">
        <v>246</v>
      </c>
      <c r="H6" s="251"/>
      <c r="I6" s="251"/>
      <c r="J6" s="251"/>
      <c r="K6" s="251"/>
      <c r="L6" s="252"/>
    </row>
    <row r="7" spans="1:12" x14ac:dyDescent="0.35">
      <c r="A7" s="249">
        <v>46043</v>
      </c>
      <c r="B7" s="250">
        <v>10952</v>
      </c>
      <c r="C7" s="243" t="s">
        <v>177</v>
      </c>
      <c r="D7" s="250">
        <v>3028</v>
      </c>
      <c r="E7" s="347"/>
      <c r="F7" s="347"/>
      <c r="G7" s="426"/>
      <c r="H7" s="251"/>
      <c r="I7" s="251"/>
      <c r="J7" s="251"/>
      <c r="K7" s="251"/>
      <c r="L7" s="252"/>
    </row>
    <row r="8" spans="1:12" x14ac:dyDescent="0.35">
      <c r="A8" s="249">
        <v>46051</v>
      </c>
      <c r="B8" s="250">
        <v>10980</v>
      </c>
      <c r="C8" s="243" t="s">
        <v>177</v>
      </c>
      <c r="D8" s="250">
        <v>9.6</v>
      </c>
      <c r="E8" s="424">
        <v>50</v>
      </c>
      <c r="F8" s="346">
        <v>500</v>
      </c>
      <c r="G8" s="346" t="s">
        <v>200</v>
      </c>
      <c r="H8" s="425">
        <v>70</v>
      </c>
      <c r="I8" s="251"/>
      <c r="J8" s="251"/>
      <c r="K8" s="251"/>
      <c r="L8" s="252"/>
    </row>
    <row r="9" spans="1:12" x14ac:dyDescent="0.35">
      <c r="A9" s="249">
        <v>46051</v>
      </c>
      <c r="B9" s="250">
        <v>10989</v>
      </c>
      <c r="C9" s="243" t="s">
        <v>177</v>
      </c>
      <c r="D9" s="250">
        <v>580</v>
      </c>
      <c r="E9" s="426"/>
      <c r="F9" s="347"/>
      <c r="G9" s="347"/>
      <c r="H9" s="427"/>
      <c r="I9" s="251"/>
      <c r="J9" s="251"/>
      <c r="K9" s="251"/>
      <c r="L9" s="252"/>
    </row>
    <row r="10" spans="1:12" ht="15.5" x14ac:dyDescent="0.35">
      <c r="A10" s="31"/>
      <c r="B10" s="33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3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3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3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3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3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3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3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3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3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3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3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3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3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3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3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3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3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3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3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3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3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3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3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3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3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3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3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3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3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3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3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3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3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3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3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3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3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3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3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3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3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3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3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3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3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3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3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3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3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3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3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3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3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3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3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3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3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3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3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3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3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3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3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3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3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3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3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3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3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3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5" x14ac:dyDescent="0.35">
      <c r="A81" s="31"/>
      <c r="B81" s="33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3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3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3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3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3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3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3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3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3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3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3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3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3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3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3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3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3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3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3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3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3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3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3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3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3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3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3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3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3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3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3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5" x14ac:dyDescent="0.35">
      <c r="A113" s="31"/>
      <c r="B113" s="33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5" x14ac:dyDescent="0.35">
      <c r="A114" s="31"/>
      <c r="B114" s="33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3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3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3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3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3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3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3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5" x14ac:dyDescent="0.35">
      <c r="A122" s="31"/>
      <c r="B122" s="33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5" x14ac:dyDescent="0.35">
      <c r="A123" s="31"/>
      <c r="B123" s="33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3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3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3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3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3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3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5" x14ac:dyDescent="0.35">
      <c r="A130" s="31"/>
      <c r="B130" s="33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5" x14ac:dyDescent="0.35">
      <c r="A131" s="31"/>
      <c r="B131" s="33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5" x14ac:dyDescent="0.35">
      <c r="A132" s="31"/>
      <c r="B132" s="33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5" x14ac:dyDescent="0.35">
      <c r="A133" s="31"/>
      <c r="B133" s="33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3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3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3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5" x14ac:dyDescent="0.35">
      <c r="A137" s="31"/>
      <c r="B137" s="33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5" x14ac:dyDescent="0.35">
      <c r="A138" s="31"/>
      <c r="B138" s="33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3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3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3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5" x14ac:dyDescent="0.35">
      <c r="A142" s="31"/>
      <c r="B142" s="33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3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3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3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3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3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3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3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3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5" x14ac:dyDescent="0.35">
      <c r="A151" s="31"/>
      <c r="B151" s="33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3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3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3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3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3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3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3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3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3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3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3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3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3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3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3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3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3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3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5" x14ac:dyDescent="0.35">
      <c r="A170" s="31"/>
      <c r="B170" s="33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9">
    <mergeCell ref="A1:L1"/>
    <mergeCell ref="G2:K2"/>
    <mergeCell ref="E6:E7"/>
    <mergeCell ref="G6:G7"/>
    <mergeCell ref="F8:F9"/>
    <mergeCell ref="G8:G9"/>
    <mergeCell ref="E8:E9"/>
    <mergeCell ref="H8:H9"/>
    <mergeCell ref="F6:F7"/>
  </mergeCells>
  <pageMargins left="0.25" right="0.25" top="0.75" bottom="0.75" header="0.3" footer="0.3"/>
  <pageSetup paperSize="9" scale="7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E13" sqref="E13"/>
    </sheetView>
  </sheetViews>
  <sheetFormatPr defaultRowHeight="14.5" x14ac:dyDescent="0.35"/>
  <cols>
    <col min="1" max="1" width="13" customWidth="1"/>
    <col min="2" max="2" width="23.81640625" customWidth="1"/>
    <col min="3" max="3" width="18" customWidth="1"/>
    <col min="4" max="4" width="15.1796875" customWidth="1"/>
    <col min="5" max="5" width="19.54296875" customWidth="1"/>
  </cols>
  <sheetData>
    <row r="1" spans="1:6" x14ac:dyDescent="0.35">
      <c r="A1" s="45"/>
      <c r="B1" s="348" t="s">
        <v>54</v>
      </c>
      <c r="C1" s="348"/>
      <c r="D1" s="348"/>
      <c r="E1" s="46"/>
    </row>
    <row r="2" spans="1:6" x14ac:dyDescent="0.35">
      <c r="A2" s="45"/>
      <c r="B2" s="348"/>
      <c r="C2" s="348"/>
      <c r="D2" s="348"/>
      <c r="E2" s="46"/>
    </row>
    <row r="3" spans="1:6" x14ac:dyDescent="0.35">
      <c r="A3" s="47"/>
      <c r="B3" s="47"/>
      <c r="C3" s="48" t="s">
        <v>23</v>
      </c>
      <c r="D3" s="48">
        <f>SUM(D5:D37)</f>
        <v>995</v>
      </c>
      <c r="E3" s="47"/>
    </row>
    <row r="4" spans="1:6" x14ac:dyDescent="0.3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4" customFormat="1" x14ac:dyDescent="0.35">
      <c r="A5" s="254">
        <v>46045</v>
      </c>
      <c r="B5" s="255" t="s">
        <v>149</v>
      </c>
      <c r="C5" s="255" t="s">
        <v>135</v>
      </c>
      <c r="D5" s="255">
        <v>750</v>
      </c>
      <c r="E5" s="247"/>
    </row>
    <row r="6" spans="1:6" ht="32.25" customHeight="1" x14ac:dyDescent="0.35">
      <c r="A6" s="254">
        <v>46047</v>
      </c>
      <c r="B6" s="255" t="s">
        <v>149</v>
      </c>
      <c r="C6" s="255" t="s">
        <v>135</v>
      </c>
      <c r="D6" s="255">
        <v>50</v>
      </c>
      <c r="E6" s="247"/>
    </row>
    <row r="7" spans="1:6" x14ac:dyDescent="0.35">
      <c r="A7" s="254">
        <v>46053</v>
      </c>
      <c r="B7" s="255" t="s">
        <v>201</v>
      </c>
      <c r="C7" s="255" t="s">
        <v>135</v>
      </c>
      <c r="D7" s="255">
        <v>195</v>
      </c>
      <c r="E7" s="256"/>
    </row>
    <row r="8" spans="1:6" x14ac:dyDescent="0.35">
      <c r="A8" s="253"/>
      <c r="B8" s="246"/>
      <c r="C8" s="246"/>
      <c r="D8" s="246"/>
      <c r="E8" s="247"/>
    </row>
    <row r="9" spans="1:6" x14ac:dyDescent="0.35">
      <c r="A9" s="220"/>
      <c r="B9" s="99"/>
      <c r="C9" s="99"/>
      <c r="D9" s="208"/>
      <c r="E9" s="54"/>
    </row>
    <row r="10" spans="1:6" x14ac:dyDescent="0.35">
      <c r="A10" s="220"/>
      <c r="B10" s="99"/>
      <c r="C10" s="99"/>
      <c r="D10" s="208"/>
      <c r="E10" s="76"/>
    </row>
    <row r="11" spans="1:6" x14ac:dyDescent="0.35">
      <c r="A11" s="220"/>
      <c r="B11" s="207"/>
      <c r="C11" s="205"/>
      <c r="D11" s="248"/>
      <c r="E11" s="75"/>
    </row>
    <row r="12" spans="1:6" x14ac:dyDescent="0.35">
      <c r="A12" s="220"/>
      <c r="B12" s="197"/>
      <c r="C12" s="198"/>
      <c r="D12" s="199"/>
      <c r="E12" s="54"/>
      <c r="F12" s="73"/>
    </row>
    <row r="13" spans="1:6" x14ac:dyDescent="0.35">
      <c r="A13" s="220"/>
      <c r="B13" s="197"/>
      <c r="C13" s="198"/>
      <c r="D13" s="199"/>
      <c r="E13" s="54"/>
      <c r="F13" s="73"/>
    </row>
    <row r="14" spans="1:6" x14ac:dyDescent="0.35">
      <c r="A14" s="196"/>
      <c r="B14" s="197"/>
      <c r="C14" s="198"/>
      <c r="D14" s="199"/>
      <c r="E14" s="54"/>
      <c r="F14" s="73"/>
    </row>
    <row r="15" spans="1:6" x14ac:dyDescent="0.35">
      <c r="A15" s="204"/>
      <c r="B15" s="205"/>
      <c r="C15" s="205"/>
      <c r="D15" s="206"/>
      <c r="E15" s="76"/>
    </row>
    <row r="16" spans="1:6" x14ac:dyDescent="0.35">
      <c r="A16" s="204"/>
      <c r="B16" s="205"/>
      <c r="C16" s="205"/>
      <c r="D16" s="206"/>
      <c r="E16" s="76"/>
    </row>
    <row r="17" spans="1:5" x14ac:dyDescent="0.35">
      <c r="A17" s="204"/>
      <c r="B17" s="205"/>
      <c r="C17" s="205"/>
      <c r="D17" s="206"/>
      <c r="E17" s="76"/>
    </row>
    <row r="18" spans="1:5" x14ac:dyDescent="0.35">
      <c r="A18" s="56"/>
      <c r="B18" s="54"/>
      <c r="C18" s="54"/>
      <c r="D18" s="54"/>
      <c r="E18" s="54"/>
    </row>
    <row r="19" spans="1:5" x14ac:dyDescent="0.35">
      <c r="A19" s="56"/>
      <c r="B19" s="54"/>
      <c r="C19" s="54"/>
      <c r="D19" s="54"/>
      <c r="E19" s="54"/>
    </row>
    <row r="20" spans="1:5" x14ac:dyDescent="0.35">
      <c r="A20" s="56"/>
      <c r="B20" s="54"/>
      <c r="C20" s="54"/>
      <c r="D20" s="54"/>
      <c r="E20" s="54"/>
    </row>
    <row r="21" spans="1:5" x14ac:dyDescent="0.35">
      <c r="A21" s="56"/>
      <c r="B21" s="54"/>
      <c r="C21" s="54"/>
      <c r="D21" s="54"/>
      <c r="E21" s="54"/>
    </row>
    <row r="22" spans="1:5" x14ac:dyDescent="0.35">
      <c r="A22" s="56"/>
      <c r="B22" s="54"/>
      <c r="C22" s="54"/>
      <c r="D22" s="54"/>
      <c r="E22" s="54"/>
    </row>
    <row r="23" spans="1:5" x14ac:dyDescent="0.35">
      <c r="A23" s="56"/>
      <c r="B23" s="54"/>
      <c r="C23" s="54"/>
      <c r="D23" s="54"/>
      <c r="E23" s="54"/>
    </row>
    <row r="24" spans="1:5" x14ac:dyDescent="0.35">
      <c r="A24" s="56"/>
      <c r="B24" s="54"/>
      <c r="C24" s="54"/>
      <c r="D24" s="54"/>
      <c r="E24" s="54"/>
    </row>
    <row r="25" spans="1:5" x14ac:dyDescent="0.35">
      <c r="A25" s="56"/>
      <c r="B25" s="54"/>
      <c r="C25" s="54"/>
      <c r="D25" s="54"/>
      <c r="E25" s="54"/>
    </row>
    <row r="26" spans="1:5" x14ac:dyDescent="0.35">
      <c r="A26" s="56"/>
      <c r="B26" s="54"/>
      <c r="C26" s="54"/>
      <c r="D26" s="54"/>
      <c r="E26" s="54"/>
    </row>
    <row r="27" spans="1:5" x14ac:dyDescent="0.35">
      <c r="A27" s="56"/>
      <c r="B27" s="54"/>
      <c r="C27" s="54"/>
      <c r="D27" s="54"/>
      <c r="E27" s="54"/>
    </row>
    <row r="28" spans="1:5" x14ac:dyDescent="0.35">
      <c r="A28" s="56"/>
      <c r="B28" s="54"/>
      <c r="C28" s="54"/>
      <c r="D28" s="54"/>
      <c r="E28" s="54"/>
    </row>
    <row r="29" spans="1:5" x14ac:dyDescent="0.35">
      <c r="A29" s="56"/>
      <c r="B29" s="54"/>
      <c r="C29" s="54"/>
      <c r="D29" s="54"/>
      <c r="E29" s="54"/>
    </row>
    <row r="30" spans="1:5" x14ac:dyDescent="0.35">
      <c r="A30" s="56"/>
      <c r="B30" s="54"/>
      <c r="C30" s="54"/>
      <c r="D30" s="54"/>
      <c r="E30" s="54"/>
    </row>
    <row r="31" spans="1:5" x14ac:dyDescent="0.35">
      <c r="A31" s="56"/>
      <c r="B31" s="54"/>
      <c r="C31" s="54"/>
      <c r="D31" s="54"/>
      <c r="E31" s="54"/>
    </row>
    <row r="32" spans="1:5" x14ac:dyDescent="0.35">
      <c r="A32" s="56"/>
      <c r="B32" s="54"/>
      <c r="C32" s="54"/>
      <c r="D32" s="54"/>
      <c r="E32" s="54"/>
    </row>
    <row r="33" spans="1:5" x14ac:dyDescent="0.35">
      <c r="A33" s="56"/>
      <c r="B33" s="54"/>
      <c r="C33" s="54"/>
      <c r="D33" s="54"/>
      <c r="E33" s="54"/>
    </row>
    <row r="34" spans="1:5" x14ac:dyDescent="0.35">
      <c r="A34" s="56"/>
      <c r="B34" s="54"/>
      <c r="C34" s="54"/>
      <c r="D34" s="54"/>
      <c r="E34" s="54"/>
    </row>
    <row r="35" spans="1:5" x14ac:dyDescent="0.35">
      <c r="A35" s="56"/>
      <c r="B35" s="54"/>
      <c r="C35" s="54"/>
      <c r="D35" s="54"/>
      <c r="E35" s="54"/>
    </row>
    <row r="36" spans="1:5" x14ac:dyDescent="0.35">
      <c r="A36" s="56"/>
      <c r="B36" s="54"/>
      <c r="C36" s="54"/>
      <c r="D36" s="54"/>
      <c r="E36" s="54"/>
    </row>
    <row r="37" spans="1:5" x14ac:dyDescent="0.3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4.5" x14ac:dyDescent="0.35"/>
  <cols>
    <col min="1" max="1" width="24.7265625" customWidth="1"/>
    <col min="2" max="5" width="20.7265625" customWidth="1"/>
    <col min="6" max="6" width="14.7265625" customWidth="1"/>
    <col min="7" max="7" width="15.81640625" customWidth="1"/>
    <col min="9" max="9" width="9.1796875" customWidth="1"/>
  </cols>
  <sheetData>
    <row r="1" spans="1:17" ht="21" x14ac:dyDescent="0.35">
      <c r="A1" s="45"/>
      <c r="B1" s="348" t="s">
        <v>58</v>
      </c>
      <c r="C1" s="348"/>
      <c r="D1" s="271"/>
      <c r="E1" s="271"/>
      <c r="F1" s="58"/>
      <c r="G1" s="46"/>
    </row>
    <row r="2" spans="1:17" x14ac:dyDescent="0.3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3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29" x14ac:dyDescent="0.35">
      <c r="A4" s="52" t="s">
        <v>152</v>
      </c>
      <c r="B4" s="53" t="s">
        <v>153</v>
      </c>
      <c r="C4" s="272">
        <v>44957</v>
      </c>
      <c r="D4" s="273" t="s">
        <v>154</v>
      </c>
      <c r="E4" s="55" t="s">
        <v>155</v>
      </c>
      <c r="F4" s="55"/>
      <c r="G4" s="54" t="s">
        <v>156</v>
      </c>
    </row>
    <row r="5" spans="1:17" x14ac:dyDescent="0.35">
      <c r="A5" s="56" t="s">
        <v>157</v>
      </c>
      <c r="B5" s="57" t="s">
        <v>158</v>
      </c>
      <c r="C5" s="272">
        <v>44957</v>
      </c>
      <c r="D5" s="54"/>
      <c r="E5" s="54"/>
      <c r="F5" s="55"/>
      <c r="G5" s="54" t="s">
        <v>156</v>
      </c>
    </row>
    <row r="6" spans="1:17" x14ac:dyDescent="0.35">
      <c r="K6" s="52"/>
      <c r="L6" s="53"/>
      <c r="M6" s="272"/>
      <c r="N6" s="273"/>
      <c r="O6" s="55"/>
      <c r="P6" s="55"/>
      <c r="Q6" s="54"/>
    </row>
    <row r="7" spans="1:17" x14ac:dyDescent="0.35">
      <c r="K7" s="56"/>
      <c r="L7" s="57"/>
      <c r="M7" s="272"/>
      <c r="N7" s="54"/>
      <c r="O7" s="54"/>
      <c r="P7" s="55"/>
      <c r="Q7" s="54"/>
    </row>
    <row r="9" spans="1:17" x14ac:dyDescent="0.35">
      <c r="F9" t="s">
        <v>159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4.5" x14ac:dyDescent="0.35"/>
  <cols>
    <col min="1" max="1" width="15" customWidth="1"/>
    <col min="2" max="2" width="16.7265625" customWidth="1"/>
    <col min="3" max="3" width="18" customWidth="1"/>
    <col min="4" max="4" width="16.7265625" customWidth="1"/>
    <col min="5" max="5" width="14.1796875" customWidth="1"/>
    <col min="6" max="6" width="19.453125" customWidth="1"/>
  </cols>
  <sheetData>
    <row r="1" spans="1:6" ht="21" x14ac:dyDescent="0.35">
      <c r="A1" s="349" t="s">
        <v>61</v>
      </c>
      <c r="B1" s="350"/>
      <c r="C1" s="350"/>
      <c r="D1" s="351"/>
      <c r="E1" s="351"/>
      <c r="F1" s="352"/>
    </row>
    <row r="2" spans="1:6" x14ac:dyDescent="0.3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3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35">
      <c r="A4" s="56"/>
      <c r="B4" s="54"/>
      <c r="C4" s="54"/>
      <c r="D4" s="54"/>
      <c r="E4" s="54"/>
      <c r="F4" s="54"/>
    </row>
    <row r="5" spans="1:6" x14ac:dyDescent="0.35">
      <c r="A5" s="56"/>
      <c r="B5" s="54"/>
      <c r="C5" s="54"/>
      <c r="D5" s="55"/>
      <c r="E5" s="55"/>
      <c r="F5" s="54"/>
    </row>
    <row r="6" spans="1:6" x14ac:dyDescent="0.35">
      <c r="A6" s="56"/>
      <c r="B6" s="54"/>
      <c r="C6" s="54"/>
      <c r="D6" s="54"/>
      <c r="E6" s="54"/>
      <c r="F6" s="54"/>
    </row>
    <row r="7" spans="1:6" x14ac:dyDescent="0.35">
      <c r="A7" s="56"/>
      <c r="B7" s="54"/>
      <c r="C7" s="54"/>
      <c r="D7" s="54"/>
      <c r="E7" s="54"/>
      <c r="F7" s="54"/>
    </row>
    <row r="8" spans="1:6" x14ac:dyDescent="0.35">
      <c r="A8" s="56"/>
      <c r="B8" s="54"/>
      <c r="C8" s="54"/>
      <c r="D8" s="54"/>
      <c r="E8" s="54"/>
      <c r="F8" s="54"/>
    </row>
    <row r="9" spans="1:6" x14ac:dyDescent="0.35">
      <c r="A9" s="56"/>
      <c r="B9" s="54"/>
      <c r="C9" s="54"/>
      <c r="D9" s="54"/>
      <c r="E9" s="54"/>
      <c r="F9" s="54"/>
    </row>
    <row r="10" spans="1:6" x14ac:dyDescent="0.35">
      <c r="A10" s="56"/>
      <c r="B10" s="54"/>
      <c r="C10" s="54"/>
      <c r="D10" s="54"/>
      <c r="E10" s="54"/>
      <c r="F10" s="54"/>
    </row>
    <row r="11" spans="1:6" x14ac:dyDescent="0.35">
      <c r="A11" s="56"/>
      <c r="B11" s="54"/>
      <c r="C11" s="54"/>
      <c r="D11" s="54"/>
      <c r="E11" s="54"/>
      <c r="F11" s="54"/>
    </row>
    <row r="12" spans="1:6" x14ac:dyDescent="0.35">
      <c r="A12" s="56"/>
      <c r="B12" s="54"/>
      <c r="C12" s="54"/>
      <c r="D12" s="54"/>
      <c r="E12" s="54"/>
      <c r="F12" s="54"/>
    </row>
    <row r="13" spans="1:6" x14ac:dyDescent="0.35">
      <c r="A13" s="56"/>
      <c r="B13" s="54"/>
      <c r="C13" s="54"/>
      <c r="D13" s="54"/>
      <c r="E13" s="54"/>
      <c r="F13" s="54"/>
    </row>
    <row r="14" spans="1:6" x14ac:dyDescent="0.35">
      <c r="A14" s="56"/>
      <c r="B14" s="54"/>
      <c r="C14" s="54"/>
      <c r="D14" s="54"/>
      <c r="E14" s="54"/>
      <c r="F14" s="54"/>
    </row>
    <row r="15" spans="1:6" x14ac:dyDescent="0.35">
      <c r="A15" s="56"/>
      <c r="B15" s="54"/>
      <c r="C15" s="54"/>
      <c r="D15" s="54"/>
      <c r="E15" s="54"/>
      <c r="F15" s="54"/>
    </row>
    <row r="16" spans="1:6" x14ac:dyDescent="0.35">
      <c r="A16" s="56"/>
      <c r="B16" s="54"/>
      <c r="C16" s="54"/>
      <c r="D16" s="54"/>
      <c r="E16" s="54"/>
      <c r="F16" s="54"/>
    </row>
    <row r="17" spans="1:6" x14ac:dyDescent="0.35">
      <c r="A17" s="56"/>
      <c r="B17" s="54"/>
      <c r="C17" s="54"/>
      <c r="D17" s="54"/>
      <c r="E17" s="54"/>
      <c r="F17" s="54"/>
    </row>
    <row r="18" spans="1:6" x14ac:dyDescent="0.35">
      <c r="A18" s="56"/>
      <c r="B18" s="54"/>
      <c r="C18" s="54"/>
      <c r="D18" s="54"/>
      <c r="E18" s="54"/>
      <c r="F18" s="54"/>
    </row>
    <row r="19" spans="1:6" x14ac:dyDescent="0.35">
      <c r="A19" s="56"/>
      <c r="B19" s="54"/>
      <c r="C19" s="54"/>
      <c r="D19" s="54"/>
      <c r="E19" s="54"/>
      <c r="F19" s="54"/>
    </row>
    <row r="20" spans="1:6" x14ac:dyDescent="0.35">
      <c r="A20" s="56"/>
      <c r="B20" s="54"/>
      <c r="C20" s="54"/>
      <c r="D20" s="54"/>
      <c r="E20" s="54"/>
      <c r="F20" s="54"/>
    </row>
    <row r="21" spans="1:6" x14ac:dyDescent="0.35">
      <c r="A21" s="56"/>
      <c r="B21" s="54"/>
      <c r="C21" s="54"/>
      <c r="D21" s="54"/>
      <c r="E21" s="54"/>
      <c r="F21" s="54"/>
    </row>
    <row r="22" spans="1:6" x14ac:dyDescent="0.35">
      <c r="A22" s="56"/>
      <c r="B22" s="54"/>
      <c r="C22" s="54"/>
      <c r="D22" s="54"/>
      <c r="E22" s="54"/>
      <c r="F22" s="54"/>
    </row>
    <row r="23" spans="1:6" x14ac:dyDescent="0.35">
      <c r="A23" s="56"/>
      <c r="B23" s="54"/>
      <c r="C23" s="54"/>
      <c r="D23" s="54"/>
      <c r="E23" s="54"/>
      <c r="F23" s="54"/>
    </row>
    <row r="24" spans="1:6" x14ac:dyDescent="0.35">
      <c r="A24" s="56"/>
      <c r="B24" s="54"/>
      <c r="C24" s="54"/>
      <c r="D24" s="54"/>
      <c r="E24" s="54"/>
      <c r="F24" s="54"/>
    </row>
    <row r="25" spans="1:6" x14ac:dyDescent="0.3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4.5" x14ac:dyDescent="0.35"/>
  <cols>
    <col min="1" max="1" width="10.1796875" bestFit="1" customWidth="1"/>
    <col min="2" max="2" width="24.1796875" customWidth="1"/>
    <col min="3" max="3" width="15.7265625" customWidth="1"/>
    <col min="4" max="4" width="11.26953125" style="47" customWidth="1"/>
    <col min="5" max="5" width="11.54296875" style="47" customWidth="1"/>
    <col min="6" max="6" width="16.26953125" customWidth="1"/>
  </cols>
  <sheetData>
    <row r="1" spans="1:6" ht="21" x14ac:dyDescent="0.35">
      <c r="A1" s="65"/>
      <c r="B1" s="353" t="s">
        <v>63</v>
      </c>
      <c r="C1" s="354"/>
      <c r="D1" s="354"/>
      <c r="E1" s="354"/>
      <c r="F1" s="67"/>
    </row>
    <row r="2" spans="1:6" ht="21" x14ac:dyDescent="0.3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3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35">
      <c r="A4" s="200"/>
      <c r="B4" s="201"/>
      <c r="C4" s="202"/>
      <c r="D4" s="203"/>
      <c r="E4" s="76"/>
      <c r="F4" s="73"/>
    </row>
    <row r="5" spans="1:6" x14ac:dyDescent="0.35">
      <c r="A5" s="200"/>
      <c r="B5" s="201"/>
      <c r="C5" s="205"/>
      <c r="D5" s="206"/>
      <c r="E5" s="76"/>
      <c r="F5" s="73"/>
    </row>
    <row r="6" spans="1:6" x14ac:dyDescent="0.35">
      <c r="A6" s="200"/>
      <c r="F6" s="74"/>
    </row>
    <row r="7" spans="1:6" x14ac:dyDescent="0.35">
      <c r="A7" s="200"/>
      <c r="B7" s="73"/>
      <c r="C7" s="73"/>
      <c r="D7" s="76"/>
      <c r="E7" s="76"/>
      <c r="F7" s="73"/>
    </row>
    <row r="8" spans="1:6" x14ac:dyDescent="0.35">
      <c r="A8" s="99"/>
      <c r="B8" s="99"/>
      <c r="C8" s="99"/>
      <c r="D8" s="208"/>
      <c r="E8" s="208"/>
      <c r="F8" s="99"/>
    </row>
    <row r="9" spans="1:6" x14ac:dyDescent="0.35">
      <c r="A9" s="99"/>
      <c r="B9" s="99"/>
      <c r="C9" s="99"/>
      <c r="D9" s="208"/>
      <c r="E9" s="208"/>
      <c r="F9" s="99"/>
    </row>
    <row r="10" spans="1:6" x14ac:dyDescent="0.35">
      <c r="A10" s="72"/>
      <c r="B10" s="73"/>
      <c r="C10" s="73"/>
      <c r="D10" s="76"/>
      <c r="E10" s="76"/>
      <c r="F10" s="99"/>
    </row>
    <row r="11" spans="1:6" ht="15.5" x14ac:dyDescent="0.35">
      <c r="A11" s="72"/>
      <c r="B11" s="73"/>
      <c r="C11" s="73"/>
      <c r="D11" s="76"/>
      <c r="E11" s="194"/>
      <c r="F11" s="73"/>
    </row>
    <row r="12" spans="1:6" x14ac:dyDescent="0.35">
      <c r="A12" s="72"/>
      <c r="B12" s="73"/>
      <c r="C12" s="73"/>
      <c r="D12" s="76"/>
      <c r="E12" s="76"/>
      <c r="F12" s="73"/>
    </row>
    <row r="13" spans="1:6" x14ac:dyDescent="0.35">
      <c r="A13" s="72"/>
      <c r="B13" s="73"/>
      <c r="C13" s="73"/>
      <c r="D13" s="76"/>
      <c r="E13" s="76"/>
      <c r="F13" s="73"/>
    </row>
    <row r="14" spans="1:6" x14ac:dyDescent="0.35">
      <c r="A14" s="72"/>
      <c r="B14" s="73"/>
      <c r="C14" s="73"/>
      <c r="D14" s="76"/>
      <c r="E14" s="76"/>
      <c r="F14" s="73"/>
    </row>
    <row r="15" spans="1:6" x14ac:dyDescent="0.35">
      <c r="A15" s="72"/>
      <c r="B15" s="73"/>
      <c r="C15" s="73"/>
      <c r="D15" s="76"/>
      <c r="E15" s="76"/>
      <c r="F15" s="73"/>
    </row>
    <row r="16" spans="1:6" x14ac:dyDescent="0.35">
      <c r="A16" s="72"/>
      <c r="B16" s="73"/>
      <c r="C16" s="73"/>
      <c r="D16" s="76"/>
      <c r="E16" s="76"/>
      <c r="F16" s="73"/>
    </row>
    <row r="17" spans="1:6" x14ac:dyDescent="0.35">
      <c r="A17" s="72"/>
      <c r="B17" s="73"/>
      <c r="C17" s="73"/>
      <c r="D17" s="76"/>
      <c r="E17" s="76"/>
      <c r="F17" s="73"/>
    </row>
    <row r="18" spans="1:6" x14ac:dyDescent="0.35">
      <c r="A18" s="72"/>
      <c r="B18" s="73"/>
      <c r="C18" s="73"/>
      <c r="D18" s="76"/>
      <c r="E18" s="76"/>
      <c r="F18" s="73"/>
    </row>
    <row r="19" spans="1:6" x14ac:dyDescent="0.35">
      <c r="A19" s="72"/>
      <c r="B19" s="73"/>
      <c r="C19" s="73"/>
      <c r="D19" s="76"/>
      <c r="E19" s="76"/>
      <c r="F19" s="73"/>
    </row>
    <row r="20" spans="1:6" x14ac:dyDescent="0.35">
      <c r="A20" s="72"/>
      <c r="B20" s="73"/>
      <c r="C20" s="73"/>
      <c r="D20" s="76"/>
      <c r="E20" s="76"/>
      <c r="F20" s="73"/>
    </row>
    <row r="21" spans="1:6" x14ac:dyDescent="0.35">
      <c r="A21" s="72"/>
      <c r="B21" s="73"/>
      <c r="C21" s="73"/>
      <c r="D21" s="76"/>
      <c r="E21" s="76"/>
      <c r="F21" s="73"/>
    </row>
    <row r="22" spans="1:6" x14ac:dyDescent="0.35">
      <c r="A22" s="72"/>
      <c r="B22" s="73"/>
      <c r="C22" s="73"/>
      <c r="D22" s="76"/>
      <c r="E22" s="76"/>
      <c r="F22" s="73"/>
    </row>
    <row r="23" spans="1:6" x14ac:dyDescent="0.35">
      <c r="A23" s="72"/>
      <c r="B23" s="73"/>
      <c r="C23" s="73"/>
      <c r="D23" s="76"/>
      <c r="E23" s="76"/>
      <c r="F23" s="73"/>
    </row>
    <row r="24" spans="1:6" x14ac:dyDescent="0.35">
      <c r="F24" s="73"/>
    </row>
    <row r="25" spans="1:6" x14ac:dyDescent="0.35">
      <c r="F25" s="73"/>
    </row>
    <row r="26" spans="1:6" x14ac:dyDescent="0.3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4.5" x14ac:dyDescent="0.35"/>
  <cols>
    <col min="2" max="2" width="24.26953125" customWidth="1"/>
    <col min="3" max="3" width="11.26953125" customWidth="1"/>
    <col min="4" max="4" width="13.7265625" customWidth="1"/>
    <col min="5" max="5" width="13.453125" customWidth="1"/>
  </cols>
  <sheetData>
    <row r="1" spans="1:5" ht="15.5" x14ac:dyDescent="0.35">
      <c r="A1" s="355" t="s">
        <v>64</v>
      </c>
      <c r="B1" s="355"/>
      <c r="C1" s="355"/>
      <c r="D1" s="355"/>
      <c r="E1" s="355"/>
    </row>
    <row r="2" spans="1:5" x14ac:dyDescent="0.35">
      <c r="A2" s="77"/>
      <c r="B2" s="77"/>
      <c r="C2" s="78" t="s">
        <v>23</v>
      </c>
      <c r="D2" s="78">
        <f>SUM(D4:D9)</f>
        <v>0</v>
      </c>
      <c r="E2" s="77"/>
    </row>
    <row r="3" spans="1:5" x14ac:dyDescent="0.3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35">
      <c r="A4" s="55"/>
      <c r="B4" s="55"/>
      <c r="C4" s="55"/>
      <c r="D4" s="55"/>
      <c r="E4" s="55"/>
    </row>
    <row r="5" spans="1:5" x14ac:dyDescent="0.35">
      <c r="A5" s="55"/>
      <c r="B5" s="55"/>
      <c r="C5" s="55"/>
      <c r="D5" s="55"/>
      <c r="E5" s="55"/>
    </row>
    <row r="6" spans="1:5" x14ac:dyDescent="0.35">
      <c r="A6" s="55"/>
      <c r="B6" s="55"/>
      <c r="C6" s="55"/>
      <c r="D6" s="55"/>
      <c r="E6" s="55"/>
    </row>
    <row r="7" spans="1:5" x14ac:dyDescent="0.35">
      <c r="A7" s="55"/>
      <c r="B7" s="55"/>
      <c r="C7" s="55"/>
      <c r="D7" s="55"/>
      <c r="E7" s="55"/>
    </row>
    <row r="8" spans="1:5" x14ac:dyDescent="0.35">
      <c r="A8" s="55"/>
      <c r="B8" s="55"/>
      <c r="C8" s="55"/>
      <c r="D8" s="55"/>
      <c r="E8" s="55"/>
    </row>
    <row r="9" spans="1:5" x14ac:dyDescent="0.35">
      <c r="A9" s="55"/>
      <c r="B9" s="55"/>
      <c r="C9" s="55"/>
      <c r="D9" s="55"/>
      <c r="E9" s="55"/>
    </row>
    <row r="10" spans="1:5" x14ac:dyDescent="0.35">
      <c r="A10" s="77"/>
      <c r="B10" s="77"/>
      <c r="C10" s="77"/>
      <c r="D10" s="77"/>
      <c r="E10" s="77"/>
    </row>
    <row r="11" spans="1:5" x14ac:dyDescent="0.35">
      <c r="A11" s="77"/>
      <c r="B11" s="77"/>
      <c r="C11" s="77"/>
      <c r="D11" s="77"/>
      <c r="E11" s="77"/>
    </row>
    <row r="12" spans="1:5" ht="15.5" x14ac:dyDescent="0.35">
      <c r="A12" s="355" t="s">
        <v>17</v>
      </c>
      <c r="B12" s="355"/>
      <c r="C12" s="355"/>
      <c r="D12" s="355"/>
      <c r="E12" s="355"/>
    </row>
    <row r="13" spans="1:5" x14ac:dyDescent="0.3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3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35">
      <c r="A15" s="55"/>
      <c r="B15" s="55"/>
      <c r="C15" s="55"/>
      <c r="D15" s="55"/>
      <c r="E15" s="55"/>
    </row>
    <row r="16" spans="1:5" x14ac:dyDescent="0.35">
      <c r="A16" s="55"/>
      <c r="B16" s="55"/>
      <c r="C16" s="55"/>
      <c r="D16" s="55"/>
      <c r="E16" s="55"/>
    </row>
    <row r="17" spans="1:5" x14ac:dyDescent="0.35">
      <c r="A17" s="55"/>
      <c r="B17" s="55"/>
      <c r="C17" s="55"/>
      <c r="D17" s="55"/>
      <c r="E17" s="55"/>
    </row>
    <row r="18" spans="1:5" x14ac:dyDescent="0.35">
      <c r="A18" s="55"/>
      <c r="B18" s="55"/>
      <c r="C18" s="55"/>
      <c r="D18" s="55"/>
      <c r="E18" s="55"/>
    </row>
    <row r="19" spans="1:5" x14ac:dyDescent="0.35">
      <c r="A19" s="55"/>
      <c r="B19" s="55"/>
      <c r="C19" s="55"/>
      <c r="D19" s="55"/>
      <c r="E19" s="55"/>
    </row>
    <row r="20" spans="1:5" x14ac:dyDescent="0.35">
      <c r="A20" s="55"/>
      <c r="B20" s="55"/>
      <c r="C20" s="55"/>
      <c r="D20" s="55"/>
      <c r="E20" s="55"/>
    </row>
    <row r="21" spans="1:5" x14ac:dyDescent="0.35">
      <c r="A21" s="55"/>
      <c r="B21" s="55"/>
      <c r="C21" s="55"/>
      <c r="D21" s="55"/>
      <c r="E21" s="55"/>
    </row>
    <row r="22" spans="1:5" x14ac:dyDescent="0.35">
      <c r="A22" s="54"/>
      <c r="B22" s="54"/>
      <c r="C22" s="54"/>
      <c r="D22" s="54"/>
      <c r="E22" s="54"/>
    </row>
    <row r="23" spans="1:5" x14ac:dyDescent="0.35">
      <c r="A23" s="54"/>
      <c r="B23" s="54"/>
      <c r="C23" s="54"/>
      <c r="D23" s="54"/>
      <c r="E23" s="54"/>
    </row>
    <row r="24" spans="1:5" x14ac:dyDescent="0.35">
      <c r="A24" s="54"/>
      <c r="B24" s="54"/>
      <c r="C24" s="54"/>
      <c r="D24" s="54"/>
      <c r="E24" s="54"/>
    </row>
    <row r="25" spans="1:5" x14ac:dyDescent="0.3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C4" sqref="C4:D4"/>
    </sheetView>
  </sheetViews>
  <sheetFormatPr defaultRowHeight="14.5" x14ac:dyDescent="0.35"/>
  <cols>
    <col min="1" max="1" width="10.1796875" bestFit="1" customWidth="1"/>
    <col min="2" max="2" width="17" customWidth="1"/>
    <col min="3" max="3" width="17.7265625" customWidth="1"/>
    <col min="4" max="4" width="13.81640625" customWidth="1"/>
    <col min="5" max="5" width="14.54296875" customWidth="1"/>
  </cols>
  <sheetData>
    <row r="1" spans="1:5" ht="21" x14ac:dyDescent="0.35">
      <c r="A1" s="356" t="s">
        <v>66</v>
      </c>
      <c r="B1" s="356"/>
      <c r="C1" s="357"/>
      <c r="D1" s="357"/>
      <c r="E1" s="356"/>
    </row>
    <row r="2" spans="1:5" ht="21" x14ac:dyDescent="0.5">
      <c r="A2" s="82"/>
      <c r="B2" s="82"/>
      <c r="C2" s="83" t="s">
        <v>23</v>
      </c>
      <c r="D2" s="83">
        <f>SUM(D4:D16)</f>
        <v>0</v>
      </c>
      <c r="E2" s="82"/>
    </row>
    <row r="3" spans="1:5" x14ac:dyDescent="0.3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35">
      <c r="A4" s="72"/>
      <c r="B4" s="75"/>
      <c r="C4" s="76"/>
      <c r="D4" s="76"/>
      <c r="E4" s="73"/>
    </row>
    <row r="5" spans="1:5" x14ac:dyDescent="0.35">
      <c r="A5" s="72"/>
      <c r="B5" s="75"/>
      <c r="C5" s="76"/>
      <c r="D5" s="86"/>
      <c r="E5" s="87"/>
    </row>
    <row r="6" spans="1:5" x14ac:dyDescent="0.35">
      <c r="A6" s="72"/>
      <c r="B6" s="75"/>
      <c r="C6" s="76"/>
      <c r="D6" s="76"/>
      <c r="E6" s="73"/>
    </row>
    <row r="7" spans="1:5" x14ac:dyDescent="0.35">
      <c r="A7" s="72"/>
      <c r="B7" s="73"/>
      <c r="C7" s="73"/>
      <c r="D7" s="76"/>
      <c r="E7" s="73"/>
    </row>
    <row r="8" spans="1:5" x14ac:dyDescent="0.35">
      <c r="A8" s="72"/>
      <c r="B8" s="73"/>
      <c r="C8" s="73"/>
      <c r="D8" s="76"/>
      <c r="E8" s="73"/>
    </row>
    <row r="9" spans="1:5" x14ac:dyDescent="0.35">
      <c r="A9" s="72"/>
      <c r="B9" s="73"/>
      <c r="C9" s="73"/>
      <c r="D9" s="76"/>
      <c r="E9" s="73"/>
    </row>
    <row r="10" spans="1:5" x14ac:dyDescent="0.35">
      <c r="A10" s="72"/>
      <c r="B10" s="73"/>
      <c r="C10" s="73"/>
      <c r="D10" s="76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4.5" x14ac:dyDescent="0.35"/>
  <cols>
    <col min="1" max="1" width="15.54296875" bestFit="1" customWidth="1"/>
    <col min="2" max="2" width="17.26953125" bestFit="1" customWidth="1"/>
    <col min="3" max="3" width="12.54296875" customWidth="1"/>
    <col min="4" max="4" width="13.26953125" customWidth="1"/>
    <col min="5" max="5" width="17.26953125" customWidth="1"/>
  </cols>
  <sheetData>
    <row r="1" spans="1:5" ht="18.5" x14ac:dyDescent="0.35">
      <c r="A1" s="358" t="s">
        <v>19</v>
      </c>
      <c r="B1" s="358"/>
      <c r="C1" s="358"/>
      <c r="D1" s="358"/>
      <c r="E1" s="358"/>
    </row>
    <row r="2" spans="1:5" x14ac:dyDescent="0.35">
      <c r="A2" s="88"/>
      <c r="B2" s="65"/>
      <c r="C2" s="89" t="s">
        <v>23</v>
      </c>
      <c r="D2" s="89">
        <f>SUM(D4:D30)</f>
        <v>0</v>
      </c>
      <c r="E2" s="65"/>
    </row>
    <row r="3" spans="1:5" x14ac:dyDescent="0.3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35">
      <c r="A4" s="72"/>
      <c r="B4" s="73"/>
      <c r="C4" s="73"/>
      <c r="D4" s="73"/>
      <c r="E4" s="73"/>
    </row>
    <row r="5" spans="1:5" x14ac:dyDescent="0.35">
      <c r="A5" s="72"/>
      <c r="B5" s="73"/>
      <c r="C5" s="73"/>
      <c r="D5" s="73"/>
      <c r="E5" s="73"/>
    </row>
    <row r="6" spans="1:5" x14ac:dyDescent="0.35">
      <c r="A6" s="72"/>
      <c r="B6" s="73"/>
      <c r="C6" s="73"/>
      <c r="D6" s="73"/>
      <c r="E6" s="73"/>
    </row>
    <row r="7" spans="1:5" x14ac:dyDescent="0.35">
      <c r="A7" s="72"/>
      <c r="B7" s="73"/>
      <c r="C7" s="73"/>
      <c r="D7" s="73"/>
      <c r="E7" s="73"/>
    </row>
    <row r="8" spans="1:5" x14ac:dyDescent="0.35">
      <c r="A8" s="72"/>
      <c r="B8" s="73"/>
      <c r="C8" s="73"/>
      <c r="D8" s="73"/>
      <c r="E8" s="73"/>
    </row>
    <row r="9" spans="1:5" x14ac:dyDescent="0.35">
      <c r="A9" s="72"/>
      <c r="B9" s="73"/>
      <c r="C9" s="73"/>
      <c r="D9" s="73"/>
      <c r="E9" s="73"/>
    </row>
    <row r="10" spans="1:5" x14ac:dyDescent="0.35">
      <c r="A10" s="72"/>
      <c r="B10" s="73"/>
      <c r="C10" s="73"/>
      <c r="D10" s="73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  <row r="17" spans="1:5" x14ac:dyDescent="0.35">
      <c r="A17" s="72"/>
      <c r="B17" s="73"/>
      <c r="C17" s="73"/>
      <c r="D17" s="73"/>
      <c r="E17" s="73"/>
    </row>
    <row r="18" spans="1:5" x14ac:dyDescent="0.35">
      <c r="A18" s="72"/>
      <c r="B18" s="73"/>
      <c r="C18" s="73"/>
      <c r="D18" s="73"/>
      <c r="E18" s="73"/>
    </row>
    <row r="19" spans="1:5" x14ac:dyDescent="0.35">
      <c r="A19" s="72"/>
      <c r="B19" s="73"/>
      <c r="C19" s="73"/>
      <c r="D19" s="73"/>
      <c r="E19" s="73"/>
    </row>
    <row r="20" spans="1:5" x14ac:dyDescent="0.35">
      <c r="A20" s="72"/>
      <c r="B20" s="73"/>
      <c r="C20" s="73"/>
      <c r="D20" s="73"/>
      <c r="E20" s="73"/>
    </row>
    <row r="21" spans="1:5" x14ac:dyDescent="0.35">
      <c r="A21" s="72"/>
      <c r="B21" s="73"/>
      <c r="C21" s="73"/>
      <c r="D21" s="73"/>
      <c r="E21" s="73"/>
    </row>
    <row r="22" spans="1:5" x14ac:dyDescent="0.35">
      <c r="A22" s="72"/>
      <c r="B22" s="73"/>
      <c r="C22" s="73"/>
      <c r="D22" s="73"/>
      <c r="E22" s="73"/>
    </row>
    <row r="23" spans="1:5" x14ac:dyDescent="0.35">
      <c r="A23" s="72"/>
      <c r="B23" s="73"/>
      <c r="C23" s="73"/>
      <c r="D23" s="73"/>
      <c r="E23" s="73"/>
    </row>
    <row r="24" spans="1:5" x14ac:dyDescent="0.35">
      <c r="A24" s="72"/>
      <c r="B24" s="73"/>
      <c r="C24" s="73"/>
      <c r="D24" s="73"/>
      <c r="E24" s="73"/>
    </row>
    <row r="25" spans="1:5" x14ac:dyDescent="0.35">
      <c r="A25" s="72"/>
      <c r="B25" s="73"/>
      <c r="C25" s="73"/>
      <c r="D25" s="73"/>
      <c r="E25" s="73"/>
    </row>
    <row r="26" spans="1:5" x14ac:dyDescent="0.35">
      <c r="A26" s="72"/>
      <c r="B26" s="73"/>
      <c r="C26" s="73"/>
      <c r="D26" s="73"/>
      <c r="E26" s="73"/>
    </row>
    <row r="27" spans="1:5" x14ac:dyDescent="0.35">
      <c r="A27" s="72"/>
      <c r="B27" s="73"/>
      <c r="C27" s="73"/>
      <c r="D27" s="73"/>
      <c r="E27" s="73"/>
    </row>
    <row r="28" spans="1:5" x14ac:dyDescent="0.35">
      <c r="A28" s="72"/>
      <c r="B28" s="73"/>
      <c r="C28" s="73"/>
      <c r="D28" s="73"/>
      <c r="E28" s="73"/>
    </row>
    <row r="29" spans="1:5" x14ac:dyDescent="0.35">
      <c r="A29" s="72"/>
      <c r="B29" s="73"/>
      <c r="C29" s="73"/>
      <c r="D29" s="73"/>
      <c r="E29" s="73"/>
    </row>
    <row r="30" spans="1:5" x14ac:dyDescent="0.3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sqref="A1:E10"/>
    </sheetView>
  </sheetViews>
  <sheetFormatPr defaultRowHeight="14.5" x14ac:dyDescent="0.35"/>
  <cols>
    <col min="1" max="1" width="13.81640625" style="182" customWidth="1"/>
    <col min="2" max="2" width="20.81640625" bestFit="1" customWidth="1"/>
    <col min="3" max="3" width="16.1796875" style="111" customWidth="1"/>
    <col min="4" max="4" width="14.54296875" customWidth="1"/>
    <col min="5" max="5" width="22.81640625" customWidth="1"/>
  </cols>
  <sheetData>
    <row r="1" spans="1:5" ht="18.5" x14ac:dyDescent="0.35">
      <c r="A1" s="359" t="s">
        <v>20</v>
      </c>
      <c r="B1" s="359"/>
      <c r="C1" s="359"/>
      <c r="D1" s="359"/>
      <c r="E1" s="359"/>
    </row>
    <row r="2" spans="1:5" x14ac:dyDescent="0.35">
      <c r="A2" s="63"/>
      <c r="B2" s="64"/>
      <c r="C2" s="189" t="s">
        <v>23</v>
      </c>
      <c r="D2" s="91">
        <f>SUM(D4:D36)</f>
        <v>1300</v>
      </c>
      <c r="E2" s="64"/>
    </row>
    <row r="3" spans="1:5" x14ac:dyDescent="0.35">
      <c r="A3" s="92" t="s">
        <v>67</v>
      </c>
      <c r="B3" s="93" t="s">
        <v>68</v>
      </c>
      <c r="C3" s="190" t="s">
        <v>5</v>
      </c>
      <c r="D3" s="93" t="s">
        <v>56</v>
      </c>
      <c r="E3" s="93" t="s">
        <v>57</v>
      </c>
    </row>
    <row r="4" spans="1:5" x14ac:dyDescent="0.35">
      <c r="A4" s="432">
        <v>46045</v>
      </c>
      <c r="B4" s="48" t="s">
        <v>174</v>
      </c>
      <c r="C4" s="434" t="s">
        <v>135</v>
      </c>
      <c r="D4" s="435">
        <v>300</v>
      </c>
      <c r="E4" s="436" t="s">
        <v>187</v>
      </c>
    </row>
    <row r="5" spans="1:5" x14ac:dyDescent="0.35">
      <c r="A5" s="432">
        <v>46046</v>
      </c>
      <c r="B5" s="48" t="s">
        <v>127</v>
      </c>
      <c r="C5" s="434" t="s">
        <v>135</v>
      </c>
      <c r="D5" s="435">
        <v>170</v>
      </c>
      <c r="E5" s="436" t="s">
        <v>188</v>
      </c>
    </row>
    <row r="6" spans="1:5" x14ac:dyDescent="0.35">
      <c r="A6" s="432">
        <v>46046</v>
      </c>
      <c r="B6" s="48" t="s">
        <v>127</v>
      </c>
      <c r="C6" s="434" t="s">
        <v>135</v>
      </c>
      <c r="D6" s="435">
        <v>200</v>
      </c>
      <c r="E6" s="436" t="s">
        <v>188</v>
      </c>
    </row>
    <row r="7" spans="1:5" x14ac:dyDescent="0.35">
      <c r="A7" s="433">
        <v>46047</v>
      </c>
      <c r="B7" s="435" t="s">
        <v>176</v>
      </c>
      <c r="C7" s="434" t="s">
        <v>135</v>
      </c>
      <c r="D7" s="435">
        <v>50</v>
      </c>
      <c r="E7" s="436" t="s">
        <v>189</v>
      </c>
    </row>
    <row r="8" spans="1:5" x14ac:dyDescent="0.35">
      <c r="A8" s="433">
        <v>46049</v>
      </c>
      <c r="B8" s="64" t="s">
        <v>125</v>
      </c>
      <c r="C8" s="436" t="s">
        <v>135</v>
      </c>
      <c r="D8" s="64">
        <v>80</v>
      </c>
      <c r="E8" s="64" t="s">
        <v>196</v>
      </c>
    </row>
    <row r="9" spans="1:5" x14ac:dyDescent="0.35">
      <c r="A9" s="433">
        <v>46050</v>
      </c>
      <c r="B9" s="48" t="s">
        <v>174</v>
      </c>
      <c r="C9" s="436" t="s">
        <v>135</v>
      </c>
      <c r="D9" s="64">
        <v>300</v>
      </c>
      <c r="E9" s="436" t="s">
        <v>187</v>
      </c>
    </row>
    <row r="10" spans="1:5" x14ac:dyDescent="0.35">
      <c r="A10" s="433">
        <v>46050</v>
      </c>
      <c r="B10" s="64" t="s">
        <v>174</v>
      </c>
      <c r="C10" s="436" t="s">
        <v>135</v>
      </c>
      <c r="D10" s="64">
        <v>200</v>
      </c>
      <c r="E10" s="436" t="s">
        <v>188</v>
      </c>
    </row>
    <row r="11" spans="1:5" x14ac:dyDescent="0.35">
      <c r="A11" s="63"/>
      <c r="B11" s="94"/>
      <c r="C11" s="12"/>
      <c r="D11" s="94"/>
      <c r="E11" s="94"/>
    </row>
    <row r="12" spans="1:5" x14ac:dyDescent="0.35">
      <c r="A12" s="63"/>
      <c r="B12" s="94"/>
      <c r="C12" s="12"/>
      <c r="D12" s="94"/>
      <c r="E12" s="94"/>
    </row>
    <row r="13" spans="1:5" x14ac:dyDescent="0.35">
      <c r="A13" s="63"/>
      <c r="B13" s="94"/>
      <c r="C13" s="12"/>
      <c r="D13" s="94"/>
      <c r="E13" s="94"/>
    </row>
    <row r="14" spans="1:5" x14ac:dyDescent="0.35">
      <c r="A14" s="63"/>
      <c r="B14" s="94"/>
      <c r="C14" s="12"/>
      <c r="D14" s="94"/>
      <c r="E14" s="94"/>
    </row>
    <row r="15" spans="1:5" x14ac:dyDescent="0.35">
      <c r="A15" s="63"/>
      <c r="B15" s="94"/>
      <c r="C15" s="12"/>
      <c r="D15" s="94"/>
      <c r="E15" s="94"/>
    </row>
    <row r="16" spans="1:5" x14ac:dyDescent="0.35">
      <c r="A16" s="63"/>
      <c r="B16" s="94"/>
      <c r="C16" s="12"/>
      <c r="D16" s="94"/>
      <c r="E16" s="94"/>
    </row>
    <row r="17" spans="1:5" x14ac:dyDescent="0.35">
      <c r="A17" s="63"/>
      <c r="B17" s="94"/>
      <c r="C17" s="12"/>
      <c r="D17" s="94"/>
      <c r="E17" s="94"/>
    </row>
    <row r="18" spans="1:5" x14ac:dyDescent="0.35">
      <c r="A18" s="63"/>
      <c r="B18" s="94"/>
      <c r="C18" s="12"/>
      <c r="D18" s="94"/>
      <c r="E18" s="94"/>
    </row>
    <row r="19" spans="1:5" x14ac:dyDescent="0.35">
      <c r="A19" s="63"/>
      <c r="B19" s="94"/>
      <c r="C19" s="12"/>
      <c r="D19" s="94"/>
      <c r="E19" s="94"/>
    </row>
    <row r="20" spans="1:5" x14ac:dyDescent="0.35">
      <c r="A20" s="63"/>
      <c r="B20" s="94"/>
      <c r="C20" s="12"/>
      <c r="D20" s="94"/>
      <c r="E20" s="94"/>
    </row>
    <row r="21" spans="1:5" x14ac:dyDescent="0.35">
      <c r="A21" s="63"/>
      <c r="B21" s="94"/>
      <c r="C21" s="12"/>
      <c r="D21" s="94"/>
      <c r="E21" s="94"/>
    </row>
    <row r="22" spans="1:5" x14ac:dyDescent="0.35">
      <c r="A22" s="63"/>
      <c r="B22" s="94"/>
      <c r="C22" s="12"/>
      <c r="D22" s="94"/>
      <c r="E22" s="94"/>
    </row>
    <row r="23" spans="1:5" x14ac:dyDescent="0.35">
      <c r="A23" s="63"/>
      <c r="B23" s="94"/>
      <c r="C23" s="12"/>
      <c r="D23" s="94"/>
      <c r="E23" s="94"/>
    </row>
    <row r="24" spans="1:5" x14ac:dyDescent="0.35">
      <c r="A24" s="63"/>
      <c r="B24" s="94"/>
      <c r="C24" s="12"/>
      <c r="D24" s="94"/>
      <c r="E24" s="94"/>
    </row>
    <row r="25" spans="1:5" x14ac:dyDescent="0.35">
      <c r="A25" s="63"/>
      <c r="B25" s="94"/>
      <c r="C25" s="12"/>
      <c r="D25" s="94"/>
      <c r="E25" s="94"/>
    </row>
    <row r="26" spans="1:5" x14ac:dyDescent="0.35">
      <c r="A26" s="63"/>
      <c r="B26" s="94"/>
      <c r="C26" s="12"/>
      <c r="D26" s="94"/>
      <c r="E26" s="94"/>
    </row>
    <row r="27" spans="1:5" x14ac:dyDescent="0.35">
      <c r="A27" s="63"/>
      <c r="B27" s="94"/>
      <c r="C27" s="12"/>
      <c r="D27" s="94"/>
      <c r="E27" s="94"/>
    </row>
    <row r="28" spans="1:5" x14ac:dyDescent="0.35">
      <c r="A28" s="63"/>
      <c r="B28" s="94"/>
      <c r="C28" s="12"/>
      <c r="D28" s="94"/>
      <c r="E28" s="94"/>
    </row>
    <row r="29" spans="1:5" x14ac:dyDescent="0.35">
      <c r="A29" s="63"/>
      <c r="B29" s="94"/>
      <c r="C29" s="12"/>
      <c r="D29" s="94"/>
      <c r="E29" s="94"/>
    </row>
    <row r="30" spans="1:5" x14ac:dyDescent="0.35">
      <c r="A30" s="63"/>
      <c r="B30" s="94"/>
      <c r="C30" s="12"/>
      <c r="D30" s="94"/>
      <c r="E30" s="94"/>
    </row>
    <row r="31" spans="1:5" x14ac:dyDescent="0.35">
      <c r="A31" s="63"/>
      <c r="B31" s="94"/>
      <c r="C31" s="12"/>
      <c r="D31" s="94"/>
      <c r="E31" s="94"/>
    </row>
    <row r="32" spans="1:5" x14ac:dyDescent="0.35">
      <c r="A32" s="63"/>
      <c r="B32" s="94"/>
      <c r="C32" s="12"/>
      <c r="D32" s="94"/>
      <c r="E32" s="94"/>
    </row>
    <row r="33" spans="1:5" x14ac:dyDescent="0.35">
      <c r="A33" s="63"/>
      <c r="B33" s="94"/>
      <c r="C33" s="12"/>
      <c r="D33" s="94"/>
      <c r="E33" s="94"/>
    </row>
    <row r="34" spans="1:5" x14ac:dyDescent="0.35">
      <c r="A34" s="63"/>
      <c r="B34" s="94"/>
      <c r="C34" s="12"/>
      <c r="D34" s="94"/>
      <c r="E34" s="94"/>
    </row>
    <row r="35" spans="1:5" x14ac:dyDescent="0.35">
      <c r="A35" s="63"/>
      <c r="B35" s="94"/>
      <c r="C35" s="12"/>
      <c r="D35" s="94"/>
      <c r="E35" s="94"/>
    </row>
    <row r="36" spans="1:5" x14ac:dyDescent="0.35">
      <c r="A36" s="63"/>
      <c r="B36" s="94"/>
      <c r="C36" s="12"/>
      <c r="D36" s="94"/>
      <c r="E36" s="94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4.5" x14ac:dyDescent="0.35"/>
  <cols>
    <col min="1" max="1" width="13.81640625" customWidth="1"/>
    <col min="2" max="2" width="18.81640625" customWidth="1"/>
    <col min="3" max="3" width="15.453125" customWidth="1"/>
    <col min="4" max="4" width="13.81640625" customWidth="1"/>
    <col min="5" max="5" width="14" customWidth="1"/>
  </cols>
  <sheetData>
    <row r="1" spans="1:5" ht="18.5" x14ac:dyDescent="0.35">
      <c r="A1" s="358" t="s">
        <v>70</v>
      </c>
      <c r="B1" s="358"/>
      <c r="C1" s="358"/>
      <c r="D1" s="358"/>
      <c r="E1" s="358"/>
    </row>
    <row r="2" spans="1:5" x14ac:dyDescent="0.35">
      <c r="A2" s="65"/>
      <c r="B2" s="65"/>
      <c r="C2" s="95" t="s">
        <v>23</v>
      </c>
      <c r="D2" s="95">
        <f>SUM(D4:D30)</f>
        <v>0</v>
      </c>
      <c r="E2" s="65"/>
    </row>
    <row r="3" spans="1:5" x14ac:dyDescent="0.35">
      <c r="A3" s="96" t="s">
        <v>36</v>
      </c>
      <c r="B3" s="96" t="s">
        <v>68</v>
      </c>
      <c r="C3" s="96" t="s">
        <v>5</v>
      </c>
      <c r="D3" s="96" t="s">
        <v>56</v>
      </c>
      <c r="E3" s="96" t="s">
        <v>57</v>
      </c>
    </row>
    <row r="4" spans="1:5" x14ac:dyDescent="0.35">
      <c r="A4" s="212"/>
      <c r="B4" s="73"/>
      <c r="C4" s="73"/>
      <c r="D4" s="73"/>
      <c r="E4" s="73"/>
    </row>
    <row r="5" spans="1:5" x14ac:dyDescent="0.35">
      <c r="A5" s="212"/>
      <c r="B5" s="73"/>
      <c r="C5" s="73"/>
      <c r="D5" s="73"/>
      <c r="E5" s="73"/>
    </row>
    <row r="6" spans="1:5" x14ac:dyDescent="0.35">
      <c r="A6" s="212"/>
      <c r="B6" s="73"/>
      <c r="C6" s="73"/>
      <c r="D6" s="73"/>
      <c r="E6" s="73"/>
    </row>
    <row r="7" spans="1:5" x14ac:dyDescent="0.35">
      <c r="A7" s="212"/>
      <c r="B7" s="73"/>
      <c r="C7" s="73"/>
      <c r="D7" s="73"/>
      <c r="E7" s="73"/>
    </row>
    <row r="8" spans="1:5" x14ac:dyDescent="0.35">
      <c r="A8" s="212"/>
      <c r="B8" s="73"/>
      <c r="C8" s="73"/>
      <c r="D8" s="73"/>
      <c r="E8" s="73"/>
    </row>
    <row r="9" spans="1:5" x14ac:dyDescent="0.35">
      <c r="A9" s="73"/>
      <c r="B9" s="73"/>
      <c r="C9" s="73"/>
      <c r="D9" s="73"/>
      <c r="E9" s="73"/>
    </row>
    <row r="10" spans="1:5" x14ac:dyDescent="0.35">
      <c r="A10" s="73"/>
      <c r="B10" s="73"/>
      <c r="C10" s="73"/>
      <c r="D10" s="73"/>
      <c r="E10" s="73"/>
    </row>
    <row r="11" spans="1:5" x14ac:dyDescent="0.35">
      <c r="A11" s="73"/>
      <c r="B11" s="73"/>
      <c r="C11" s="73"/>
      <c r="D11" s="73"/>
      <c r="E11" s="73"/>
    </row>
    <row r="12" spans="1:5" x14ac:dyDescent="0.35">
      <c r="A12" s="73"/>
      <c r="B12" s="73"/>
      <c r="C12" s="73"/>
      <c r="D12" s="73"/>
      <c r="E12" s="73"/>
    </row>
    <row r="13" spans="1:5" x14ac:dyDescent="0.35">
      <c r="A13" s="73"/>
      <c r="B13" s="73"/>
      <c r="C13" s="73"/>
      <c r="D13" s="73"/>
      <c r="E13" s="73"/>
    </row>
    <row r="14" spans="1:5" x14ac:dyDescent="0.35">
      <c r="A14" s="73"/>
      <c r="B14" s="73"/>
      <c r="C14" s="73"/>
      <c r="D14" s="73"/>
      <c r="E14" s="73"/>
    </row>
    <row r="15" spans="1:5" x14ac:dyDescent="0.35">
      <c r="A15" s="73"/>
      <c r="B15" s="73"/>
      <c r="C15" s="73"/>
      <c r="D15" s="73"/>
      <c r="E15" s="73"/>
    </row>
    <row r="16" spans="1:5" x14ac:dyDescent="0.35">
      <c r="A16" s="73"/>
      <c r="B16" s="73"/>
      <c r="C16" s="73"/>
      <c r="D16" s="73"/>
      <c r="E16" s="73"/>
    </row>
    <row r="17" spans="1:5" x14ac:dyDescent="0.35">
      <c r="A17" s="73"/>
      <c r="B17" s="73"/>
      <c r="C17" s="73"/>
      <c r="D17" s="73"/>
      <c r="E17" s="73"/>
    </row>
    <row r="18" spans="1:5" x14ac:dyDescent="0.35">
      <c r="A18" s="73"/>
      <c r="B18" s="73"/>
      <c r="C18" s="73"/>
      <c r="D18" s="73"/>
      <c r="E18" s="73"/>
    </row>
    <row r="19" spans="1:5" x14ac:dyDescent="0.35">
      <c r="A19" s="73"/>
      <c r="B19" s="73"/>
      <c r="C19" s="73"/>
      <c r="D19" s="73"/>
      <c r="E19" s="73"/>
    </row>
    <row r="20" spans="1:5" x14ac:dyDescent="0.35">
      <c r="A20" s="73"/>
      <c r="B20" s="73"/>
      <c r="C20" s="73"/>
      <c r="D20" s="73"/>
      <c r="E20" s="73"/>
    </row>
    <row r="21" spans="1:5" x14ac:dyDescent="0.35">
      <c r="A21" s="73"/>
      <c r="B21" s="73"/>
      <c r="C21" s="73"/>
      <c r="D21" s="73"/>
      <c r="E21" s="73"/>
    </row>
    <row r="22" spans="1:5" x14ac:dyDescent="0.35">
      <c r="A22" s="73"/>
      <c r="B22" s="73"/>
      <c r="C22" s="73"/>
      <c r="D22" s="73"/>
      <c r="E22" s="73"/>
    </row>
    <row r="23" spans="1:5" x14ac:dyDescent="0.35">
      <c r="A23" s="73"/>
      <c r="B23" s="73"/>
      <c r="C23" s="73"/>
      <c r="D23" s="73"/>
      <c r="E23" s="73"/>
    </row>
    <row r="24" spans="1:5" x14ac:dyDescent="0.35">
      <c r="A24" s="73"/>
      <c r="B24" s="73"/>
      <c r="C24" s="73"/>
      <c r="D24" s="73"/>
      <c r="E24" s="73"/>
    </row>
    <row r="25" spans="1:5" x14ac:dyDescent="0.35">
      <c r="A25" s="73"/>
      <c r="B25" s="73"/>
      <c r="C25" s="73"/>
      <c r="D25" s="73"/>
      <c r="E25" s="73"/>
    </row>
    <row r="26" spans="1:5" x14ac:dyDescent="0.35">
      <c r="A26" s="73"/>
      <c r="B26" s="73"/>
      <c r="C26" s="73"/>
      <c r="D26" s="73"/>
      <c r="E26" s="73"/>
    </row>
    <row r="27" spans="1:5" x14ac:dyDescent="0.35">
      <c r="A27" s="73"/>
      <c r="B27" s="73"/>
      <c r="C27" s="73"/>
      <c r="D27" s="73"/>
      <c r="E27" s="73"/>
    </row>
    <row r="28" spans="1:5" x14ac:dyDescent="0.35">
      <c r="A28" s="73"/>
      <c r="B28" s="73"/>
      <c r="C28" s="73"/>
      <c r="D28" s="73"/>
      <c r="E28" s="73"/>
    </row>
    <row r="29" spans="1:5" x14ac:dyDescent="0.35">
      <c r="A29" s="73"/>
      <c r="B29" s="73"/>
      <c r="C29" s="73"/>
      <c r="D29" s="73"/>
      <c r="E29" s="73"/>
    </row>
    <row r="30" spans="1:5" x14ac:dyDescent="0.3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4.5" x14ac:dyDescent="0.35"/>
  <cols>
    <col min="1" max="1" width="3.54296875" customWidth="1"/>
    <col min="2" max="2" width="24.54296875" customWidth="1"/>
    <col min="3" max="19" width="3.7265625" customWidth="1"/>
    <col min="20" max="20" width="5" bestFit="1" customWidth="1"/>
    <col min="21" max="27" width="3.7265625" customWidth="1"/>
    <col min="28" max="28" width="5" bestFit="1" customWidth="1"/>
    <col min="29" max="33" width="3.7265625" customWidth="1"/>
    <col min="34" max="34" width="9.7265625" customWidth="1"/>
  </cols>
  <sheetData>
    <row r="1" spans="1:34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97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3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35">
      <c r="A3" s="97"/>
      <c r="B3" s="98" t="s">
        <v>73</v>
      </c>
      <c r="C3" s="98">
        <v>1</v>
      </c>
      <c r="D3" s="98">
        <v>2</v>
      </c>
      <c r="E3" s="98">
        <v>3</v>
      </c>
      <c r="F3" s="98">
        <v>4</v>
      </c>
      <c r="G3" s="98">
        <v>5</v>
      </c>
      <c r="H3" s="98">
        <v>6</v>
      </c>
      <c r="I3" s="98">
        <v>7</v>
      </c>
      <c r="J3" s="98">
        <v>8</v>
      </c>
      <c r="K3" s="98">
        <v>9</v>
      </c>
      <c r="L3" s="98">
        <v>10</v>
      </c>
      <c r="M3" s="98">
        <v>11</v>
      </c>
      <c r="N3" s="98">
        <v>12</v>
      </c>
      <c r="O3" s="98">
        <v>13</v>
      </c>
      <c r="P3" s="98">
        <v>14</v>
      </c>
      <c r="Q3" s="98">
        <v>15</v>
      </c>
      <c r="R3" s="98">
        <v>16</v>
      </c>
      <c r="S3" s="98">
        <v>17</v>
      </c>
      <c r="T3" s="98">
        <v>18</v>
      </c>
      <c r="U3" s="98">
        <v>19</v>
      </c>
      <c r="V3" s="98">
        <v>20</v>
      </c>
      <c r="W3" s="98">
        <v>21</v>
      </c>
      <c r="X3" s="98">
        <v>22</v>
      </c>
      <c r="Y3" s="98">
        <v>23</v>
      </c>
      <c r="Z3" s="98">
        <v>24</v>
      </c>
      <c r="AA3" s="98">
        <v>25</v>
      </c>
      <c r="AB3" s="98">
        <v>26</v>
      </c>
      <c r="AC3" s="98">
        <v>27</v>
      </c>
      <c r="AD3" s="98">
        <v>28</v>
      </c>
      <c r="AE3" s="98">
        <v>29</v>
      </c>
      <c r="AF3" s="98">
        <v>30</v>
      </c>
      <c r="AG3" s="98">
        <v>31</v>
      </c>
      <c r="AH3" s="98" t="s">
        <v>23</v>
      </c>
    </row>
    <row r="4" spans="1:34" x14ac:dyDescent="0.3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3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3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3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3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35">
      <c r="A9" s="77"/>
      <c r="B9" s="54"/>
      <c r="C9" s="99">
        <f>SUM(C4:C8)</f>
        <v>0</v>
      </c>
      <c r="D9" s="99">
        <f t="shared" ref="D9:Q9" si="0">SUM(D4:D8)</f>
        <v>0</v>
      </c>
      <c r="E9" s="99">
        <f t="shared" si="0"/>
        <v>0</v>
      </c>
      <c r="F9" s="99">
        <f t="shared" si="0"/>
        <v>0</v>
      </c>
      <c r="G9" s="99">
        <f t="shared" si="0"/>
        <v>0</v>
      </c>
      <c r="H9" s="99">
        <f t="shared" si="0"/>
        <v>0</v>
      </c>
      <c r="I9" s="99">
        <f t="shared" si="0"/>
        <v>0</v>
      </c>
      <c r="J9" s="99">
        <f t="shared" si="0"/>
        <v>0</v>
      </c>
      <c r="K9" s="99">
        <f t="shared" si="0"/>
        <v>0</v>
      </c>
      <c r="L9" s="99">
        <f t="shared" si="0"/>
        <v>0</v>
      </c>
      <c r="M9" s="99">
        <f t="shared" si="0"/>
        <v>0</v>
      </c>
      <c r="N9" s="99">
        <f t="shared" si="0"/>
        <v>0</v>
      </c>
      <c r="O9" s="99">
        <f t="shared" si="0"/>
        <v>0</v>
      </c>
      <c r="P9" s="99">
        <f t="shared" si="0"/>
        <v>0</v>
      </c>
      <c r="Q9" s="99">
        <f t="shared" si="0"/>
        <v>0</v>
      </c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</row>
    <row r="10" spans="1:34" x14ac:dyDescent="0.3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4.5" x14ac:dyDescent="0.35"/>
  <cols>
    <col min="2" max="2" width="9.7265625" style="140" bestFit="1" customWidth="1"/>
    <col min="3" max="3" width="22" customWidth="1"/>
    <col min="4" max="4" width="16" customWidth="1"/>
    <col min="5" max="5" width="20.453125" customWidth="1"/>
    <col min="8" max="8" width="13.7265625" customWidth="1"/>
    <col min="9" max="9" width="27.7265625" customWidth="1"/>
    <col min="10" max="10" width="16.26953125" customWidth="1"/>
    <col min="11" max="11" width="16" customWidth="1"/>
  </cols>
  <sheetData>
    <row r="1" spans="1:11" ht="21" x14ac:dyDescent="0.35">
      <c r="A1" s="365" t="s">
        <v>0</v>
      </c>
      <c r="B1" s="366"/>
      <c r="C1" s="366"/>
      <c r="D1" s="366"/>
      <c r="E1" s="367"/>
      <c r="G1" s="365" t="s">
        <v>0</v>
      </c>
      <c r="H1" s="366"/>
      <c r="I1" s="366"/>
      <c r="J1" s="366"/>
      <c r="K1" s="367"/>
    </row>
    <row r="2" spans="1:11" x14ac:dyDescent="0.35">
      <c r="A2" s="334"/>
      <c r="B2" s="324"/>
      <c r="C2" s="324"/>
      <c r="D2" s="324"/>
      <c r="E2" s="335"/>
      <c r="G2" s="334"/>
      <c r="H2" s="324"/>
      <c r="I2" s="324"/>
      <c r="J2" s="324"/>
      <c r="K2" s="335"/>
    </row>
    <row r="3" spans="1:11" ht="15.5" x14ac:dyDescent="0.35">
      <c r="A3" s="360" t="s">
        <v>76</v>
      </c>
      <c r="B3" s="361"/>
      <c r="C3" s="100" t="s">
        <v>114</v>
      </c>
      <c r="D3" s="100"/>
      <c r="E3" s="101"/>
      <c r="G3" s="219" t="s">
        <v>132</v>
      </c>
      <c r="H3" s="100"/>
      <c r="I3" s="100"/>
      <c r="J3" s="100"/>
      <c r="K3" s="101"/>
    </row>
    <row r="4" spans="1:11" x14ac:dyDescent="0.35">
      <c r="A4" s="102"/>
      <c r="E4" s="103"/>
      <c r="G4" s="102"/>
      <c r="K4" s="103"/>
    </row>
    <row r="5" spans="1:11" x14ac:dyDescent="0.35">
      <c r="A5" s="104" t="s">
        <v>77</v>
      </c>
      <c r="B5" s="175" t="s">
        <v>36</v>
      </c>
      <c r="C5" s="105" t="s">
        <v>55</v>
      </c>
      <c r="D5" s="105" t="s">
        <v>62</v>
      </c>
      <c r="E5" s="106" t="s">
        <v>56</v>
      </c>
      <c r="G5" s="104" t="s">
        <v>77</v>
      </c>
      <c r="H5" s="105" t="s">
        <v>36</v>
      </c>
      <c r="I5" s="105" t="s">
        <v>55</v>
      </c>
      <c r="J5" s="105" t="s">
        <v>62</v>
      </c>
      <c r="K5" s="106" t="s">
        <v>56</v>
      </c>
    </row>
    <row r="6" spans="1:11" x14ac:dyDescent="0.35">
      <c r="A6" s="107">
        <v>1</v>
      </c>
      <c r="B6" s="144"/>
      <c r="C6" s="108"/>
      <c r="D6" s="108"/>
      <c r="E6" s="109"/>
      <c r="G6" s="107">
        <v>1</v>
      </c>
      <c r="H6" s="218"/>
      <c r="I6" s="108"/>
      <c r="J6" s="108"/>
      <c r="K6" s="109"/>
    </row>
    <row r="7" spans="1:11" x14ac:dyDescent="0.35">
      <c r="A7" s="107">
        <v>2</v>
      </c>
      <c r="B7" s="144"/>
      <c r="C7" s="108"/>
      <c r="D7" s="108"/>
      <c r="E7" s="109"/>
      <c r="G7" s="107"/>
      <c r="H7" s="108"/>
      <c r="I7" s="108"/>
      <c r="J7" s="108"/>
      <c r="K7" s="109"/>
    </row>
    <row r="8" spans="1:11" ht="15.5" x14ac:dyDescent="0.35">
      <c r="A8" s="107">
        <v>3</v>
      </c>
      <c r="B8" s="144"/>
      <c r="C8" s="108"/>
      <c r="D8" s="108"/>
      <c r="E8" s="109"/>
      <c r="G8" s="368" t="s">
        <v>23</v>
      </c>
      <c r="H8" s="369"/>
      <c r="I8" s="369"/>
      <c r="J8" s="370"/>
      <c r="K8" s="109"/>
    </row>
    <row r="9" spans="1:11" x14ac:dyDescent="0.35">
      <c r="A9" s="107">
        <v>4</v>
      </c>
      <c r="B9" s="144"/>
      <c r="C9" s="108"/>
      <c r="D9" s="108"/>
      <c r="E9" s="109"/>
      <c r="G9" s="102"/>
      <c r="K9" s="103"/>
    </row>
    <row r="10" spans="1:11" x14ac:dyDescent="0.35">
      <c r="A10" s="107">
        <v>5</v>
      </c>
      <c r="B10" s="144"/>
      <c r="C10" s="108"/>
      <c r="D10" s="108"/>
      <c r="E10" s="109"/>
      <c r="G10" s="110"/>
      <c r="H10" s="111"/>
      <c r="I10" s="111"/>
      <c r="J10" s="111"/>
      <c r="K10" s="112"/>
    </row>
    <row r="11" spans="1:11" x14ac:dyDescent="0.35">
      <c r="A11" s="107">
        <v>6</v>
      </c>
      <c r="B11" s="144"/>
      <c r="C11" s="108"/>
      <c r="D11" s="108"/>
      <c r="E11" s="109"/>
      <c r="G11" s="113" t="s">
        <v>78</v>
      </c>
      <c r="H11" s="47"/>
      <c r="I11" s="47" t="s">
        <v>79</v>
      </c>
      <c r="J11" s="47" t="s">
        <v>80</v>
      </c>
      <c r="K11" s="114"/>
    </row>
    <row r="12" spans="1:11" ht="16" thickBot="1" x14ac:dyDescent="0.4">
      <c r="A12" s="368" t="s">
        <v>23</v>
      </c>
      <c r="B12" s="369"/>
      <c r="C12" s="369"/>
      <c r="D12" s="370"/>
      <c r="E12" s="109">
        <f>SUM(E6:E11)</f>
        <v>0</v>
      </c>
      <c r="G12" s="115" t="s">
        <v>30</v>
      </c>
      <c r="H12" s="116"/>
      <c r="I12" s="116" t="s">
        <v>81</v>
      </c>
      <c r="J12" s="116" t="s">
        <v>82</v>
      </c>
      <c r="K12" s="117"/>
    </row>
    <row r="13" spans="1:11" x14ac:dyDescent="0.35">
      <c r="A13" s="102"/>
      <c r="E13" s="103"/>
    </row>
    <row r="14" spans="1:11" ht="15" thickBot="1" x14ac:dyDescent="0.4">
      <c r="A14" s="110"/>
      <c r="B14" s="176"/>
      <c r="C14" s="111"/>
      <c r="D14" s="111"/>
      <c r="E14" s="112"/>
    </row>
    <row r="15" spans="1:11" ht="21" x14ac:dyDescent="0.35">
      <c r="A15" s="113" t="s">
        <v>78</v>
      </c>
      <c r="B15" s="177"/>
      <c r="C15" s="47" t="s">
        <v>79</v>
      </c>
      <c r="D15" s="47" t="s">
        <v>80</v>
      </c>
      <c r="E15" s="114"/>
      <c r="G15" s="365" t="s">
        <v>0</v>
      </c>
      <c r="H15" s="366"/>
      <c r="I15" s="366"/>
      <c r="J15" s="366"/>
      <c r="K15" s="367"/>
    </row>
    <row r="16" spans="1:11" ht="16" thickBot="1" x14ac:dyDescent="0.4">
      <c r="A16" s="115" t="s">
        <v>30</v>
      </c>
      <c r="B16" s="178"/>
      <c r="C16" s="116" t="s">
        <v>81</v>
      </c>
      <c r="D16" s="116" t="s">
        <v>82</v>
      </c>
      <c r="E16" s="117"/>
      <c r="G16" s="334"/>
      <c r="H16" s="324"/>
      <c r="I16" s="324"/>
      <c r="J16" s="324"/>
      <c r="K16" s="335"/>
    </row>
    <row r="17" spans="1:11" ht="15.5" x14ac:dyDescent="0.35">
      <c r="G17" s="360" t="s">
        <v>76</v>
      </c>
      <c r="H17" s="361"/>
      <c r="I17" s="100"/>
      <c r="J17" s="100"/>
      <c r="K17" s="101"/>
    </row>
    <row r="18" spans="1:11" ht="15" thickBot="1" x14ac:dyDescent="0.4">
      <c r="G18" s="102"/>
      <c r="K18" s="103"/>
    </row>
    <row r="19" spans="1:11" ht="21" x14ac:dyDescent="0.35">
      <c r="A19" s="365" t="s">
        <v>0</v>
      </c>
      <c r="B19" s="366"/>
      <c r="C19" s="366"/>
      <c r="D19" s="366"/>
      <c r="E19" s="367"/>
      <c r="G19" s="118" t="s">
        <v>77</v>
      </c>
      <c r="H19" s="48" t="s">
        <v>36</v>
      </c>
      <c r="I19" s="48" t="s">
        <v>55</v>
      </c>
      <c r="J19" s="48" t="s">
        <v>62</v>
      </c>
      <c r="K19" s="119" t="s">
        <v>56</v>
      </c>
    </row>
    <row r="20" spans="1:11" x14ac:dyDescent="0.35">
      <c r="A20" s="334"/>
      <c r="B20" s="324"/>
      <c r="C20" s="324"/>
      <c r="D20" s="324"/>
      <c r="E20" s="335"/>
      <c r="G20" s="107">
        <v>1</v>
      </c>
      <c r="H20" s="108"/>
      <c r="I20" s="108"/>
      <c r="J20" s="108"/>
      <c r="K20" s="109"/>
    </row>
    <row r="21" spans="1:11" ht="15.5" x14ac:dyDescent="0.35">
      <c r="A21" s="360" t="s">
        <v>76</v>
      </c>
      <c r="B21" s="361"/>
      <c r="C21" s="100"/>
      <c r="D21" s="100"/>
      <c r="E21" s="101"/>
      <c r="G21" s="107">
        <v>2</v>
      </c>
      <c r="H21" s="108"/>
      <c r="I21" s="108"/>
      <c r="J21" s="108"/>
      <c r="K21" s="109"/>
    </row>
    <row r="22" spans="1:11" x14ac:dyDescent="0.35">
      <c r="A22" s="102"/>
      <c r="E22" s="103"/>
      <c r="G22" s="107">
        <v>3</v>
      </c>
      <c r="H22" s="108"/>
      <c r="I22" s="108"/>
      <c r="J22" s="108"/>
      <c r="K22" s="109"/>
    </row>
    <row r="23" spans="1:11" x14ac:dyDescent="0.35">
      <c r="A23" s="118" t="s">
        <v>77</v>
      </c>
      <c r="B23" s="179" t="s">
        <v>36</v>
      </c>
      <c r="C23" s="48" t="s">
        <v>55</v>
      </c>
      <c r="D23" s="48" t="s">
        <v>62</v>
      </c>
      <c r="E23" s="119" t="s">
        <v>56</v>
      </c>
      <c r="G23" s="107">
        <v>4</v>
      </c>
      <c r="H23" s="108"/>
      <c r="I23" s="108"/>
      <c r="J23" s="108"/>
      <c r="K23" s="109"/>
    </row>
    <row r="24" spans="1:11" x14ac:dyDescent="0.35">
      <c r="A24" s="107">
        <v>1</v>
      </c>
      <c r="B24" s="144"/>
      <c r="C24" s="108"/>
      <c r="D24" s="108"/>
      <c r="E24" s="109"/>
      <c r="G24" s="107">
        <v>5</v>
      </c>
      <c r="H24" s="108"/>
      <c r="I24" s="108"/>
      <c r="J24" s="108"/>
      <c r="K24" s="109"/>
    </row>
    <row r="25" spans="1:11" x14ac:dyDescent="0.35">
      <c r="A25" s="107">
        <v>2</v>
      </c>
      <c r="B25" s="144"/>
      <c r="C25" s="108"/>
      <c r="D25" s="108"/>
      <c r="E25" s="109"/>
      <c r="G25" s="107">
        <v>6</v>
      </c>
      <c r="H25" s="108"/>
      <c r="I25" s="108"/>
      <c r="J25" s="108"/>
      <c r="K25" s="109"/>
    </row>
    <row r="26" spans="1:11" x14ac:dyDescent="0.35">
      <c r="A26" s="107">
        <v>3</v>
      </c>
      <c r="B26" s="144"/>
      <c r="C26" s="108"/>
      <c r="D26" s="108"/>
      <c r="E26" s="109"/>
      <c r="G26" s="362" t="s">
        <v>23</v>
      </c>
      <c r="H26" s="363"/>
      <c r="I26" s="363"/>
      <c r="J26" s="364"/>
      <c r="K26" s="109"/>
    </row>
    <row r="27" spans="1:11" x14ac:dyDescent="0.35">
      <c r="A27" s="107">
        <v>4</v>
      </c>
      <c r="B27" s="144"/>
      <c r="C27" s="108"/>
      <c r="D27" s="108"/>
      <c r="E27" s="109"/>
      <c r="G27" s="102"/>
      <c r="K27" s="103"/>
    </row>
    <row r="28" spans="1:11" x14ac:dyDescent="0.35">
      <c r="A28" s="107">
        <v>5</v>
      </c>
      <c r="B28" s="144"/>
      <c r="C28" s="108"/>
      <c r="D28" s="108"/>
      <c r="E28" s="109"/>
      <c r="G28" s="102"/>
      <c r="K28" s="103"/>
    </row>
    <row r="29" spans="1:11" x14ac:dyDescent="0.35">
      <c r="A29" s="107">
        <v>6</v>
      </c>
      <c r="B29" s="144"/>
      <c r="C29" s="108"/>
      <c r="D29" s="108"/>
      <c r="E29" s="109"/>
      <c r="G29" s="110"/>
      <c r="H29" s="111"/>
      <c r="I29" s="111"/>
      <c r="J29" s="111"/>
      <c r="K29" s="112"/>
    </row>
    <row r="30" spans="1:11" x14ac:dyDescent="0.35">
      <c r="A30" s="362" t="s">
        <v>23</v>
      </c>
      <c r="B30" s="363"/>
      <c r="C30" s="363"/>
      <c r="D30" s="364"/>
      <c r="E30" s="109"/>
      <c r="G30" s="113" t="s">
        <v>78</v>
      </c>
      <c r="H30" s="47"/>
      <c r="I30" s="47" t="s">
        <v>79</v>
      </c>
      <c r="J30" s="47" t="s">
        <v>80</v>
      </c>
      <c r="K30" s="114"/>
    </row>
    <row r="31" spans="1:11" ht="16" thickBot="1" x14ac:dyDescent="0.4">
      <c r="A31" s="102"/>
      <c r="E31" s="103"/>
      <c r="G31" s="115" t="s">
        <v>30</v>
      </c>
      <c r="H31" s="116"/>
      <c r="I31" s="116" t="s">
        <v>81</v>
      </c>
      <c r="J31" s="116" t="s">
        <v>82</v>
      </c>
      <c r="K31" s="117"/>
    </row>
    <row r="32" spans="1:11" x14ac:dyDescent="0.35">
      <c r="A32" s="102"/>
      <c r="E32" s="103"/>
    </row>
    <row r="33" spans="1:5" x14ac:dyDescent="0.35">
      <c r="A33" s="110"/>
      <c r="B33" s="176"/>
      <c r="C33" s="111"/>
      <c r="D33" s="111"/>
      <c r="E33" s="112"/>
    </row>
    <row r="34" spans="1:5" x14ac:dyDescent="0.35">
      <c r="A34" s="113" t="s">
        <v>78</v>
      </c>
      <c r="B34" s="177"/>
      <c r="C34" s="47" t="s">
        <v>79</v>
      </c>
      <c r="D34" s="47" t="s">
        <v>80</v>
      </c>
      <c r="E34" s="114"/>
    </row>
    <row r="35" spans="1:5" ht="16" thickBot="1" x14ac:dyDescent="0.4">
      <c r="A35" s="115" t="s">
        <v>30</v>
      </c>
      <c r="B35" s="178"/>
      <c r="C35" s="116" t="s">
        <v>81</v>
      </c>
      <c r="D35" s="116" t="s">
        <v>82</v>
      </c>
      <c r="E35" s="117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zoomScaleNormal="100" workbookViewId="0">
      <selection sqref="A1:F10"/>
    </sheetView>
  </sheetViews>
  <sheetFormatPr defaultRowHeight="14.5" x14ac:dyDescent="0.35"/>
  <cols>
    <col min="1" max="1" width="7.7265625" customWidth="1"/>
    <col min="2" max="2" width="10.81640625" style="140" customWidth="1"/>
    <col min="3" max="3" width="22.81640625" style="148" customWidth="1"/>
    <col min="4" max="4" width="19.81640625" customWidth="1"/>
    <col min="5" max="5" width="9.1796875" style="182"/>
    <col min="6" max="6" width="16" bestFit="1" customWidth="1"/>
    <col min="9" max="9" width="11.7265625" customWidth="1"/>
    <col min="10" max="10" width="19.54296875" customWidth="1"/>
    <col min="11" max="11" width="18.1796875" bestFit="1" customWidth="1"/>
    <col min="12" max="12" width="8.1796875" bestFit="1" customWidth="1"/>
    <col min="13" max="13" width="16" bestFit="1" customWidth="1"/>
  </cols>
  <sheetData>
    <row r="1" spans="1:13" ht="21" x14ac:dyDescent="0.35">
      <c r="A1" s="323" t="s">
        <v>0</v>
      </c>
      <c r="B1" s="323"/>
      <c r="C1" s="323"/>
      <c r="D1" s="323"/>
      <c r="E1" s="323"/>
      <c r="F1" s="323"/>
      <c r="H1" s="323" t="s">
        <v>0</v>
      </c>
      <c r="I1" s="323"/>
      <c r="J1" s="323"/>
      <c r="K1" s="323"/>
      <c r="L1" s="323"/>
      <c r="M1" s="323"/>
    </row>
    <row r="2" spans="1:13" ht="18.5" x14ac:dyDescent="0.35">
      <c r="A2" s="375"/>
      <c r="B2" s="375"/>
      <c r="C2" s="376" t="s">
        <v>89</v>
      </c>
      <c r="D2" s="376"/>
      <c r="E2" s="376"/>
      <c r="F2" s="136"/>
      <c r="H2" s="375"/>
      <c r="I2" s="375"/>
      <c r="J2" s="376" t="s">
        <v>123</v>
      </c>
      <c r="K2" s="376"/>
      <c r="L2" s="376"/>
      <c r="M2" s="136"/>
    </row>
    <row r="3" spans="1:13" x14ac:dyDescent="0.35">
      <c r="A3" s="105" t="s">
        <v>77</v>
      </c>
      <c r="B3" s="175" t="s">
        <v>36</v>
      </c>
      <c r="C3" s="184" t="s">
        <v>117</v>
      </c>
      <c r="D3" s="105" t="s">
        <v>5</v>
      </c>
      <c r="E3" s="105" t="s">
        <v>56</v>
      </c>
      <c r="F3" s="105" t="s">
        <v>90</v>
      </c>
      <c r="H3" s="105" t="s">
        <v>77</v>
      </c>
      <c r="I3" s="175" t="s">
        <v>36</v>
      </c>
      <c r="J3" s="85" t="s">
        <v>55</v>
      </c>
      <c r="K3" s="105" t="s">
        <v>5</v>
      </c>
      <c r="L3" s="105" t="s">
        <v>56</v>
      </c>
      <c r="M3" s="105" t="s">
        <v>124</v>
      </c>
    </row>
    <row r="4" spans="1:13" ht="18.5" x14ac:dyDescent="0.35">
      <c r="A4" s="132">
        <v>1</v>
      </c>
      <c r="B4" s="175">
        <v>46043</v>
      </c>
      <c r="C4" s="284" t="s">
        <v>248</v>
      </c>
      <c r="D4" s="105" t="s">
        <v>147</v>
      </c>
      <c r="E4" s="105">
        <v>400</v>
      </c>
      <c r="F4" s="105"/>
      <c r="H4" s="132">
        <v>1</v>
      </c>
      <c r="I4" s="195">
        <v>45326</v>
      </c>
      <c r="J4" s="184" t="s">
        <v>136</v>
      </c>
      <c r="K4" s="105" t="s">
        <v>135</v>
      </c>
      <c r="L4" s="105">
        <v>200</v>
      </c>
      <c r="M4" s="105" t="s">
        <v>162</v>
      </c>
    </row>
    <row r="5" spans="1:13" ht="18.5" x14ac:dyDescent="0.35">
      <c r="A5" s="132">
        <v>2</v>
      </c>
      <c r="B5" s="175">
        <v>46051</v>
      </c>
      <c r="C5" s="431" t="s">
        <v>249</v>
      </c>
      <c r="D5" s="105" t="s">
        <v>147</v>
      </c>
      <c r="E5" s="105">
        <v>50</v>
      </c>
      <c r="F5" s="105"/>
      <c r="H5" s="428"/>
      <c r="I5" s="429"/>
      <c r="J5" s="430"/>
      <c r="K5" s="282"/>
      <c r="L5" s="105"/>
      <c r="M5" s="105"/>
    </row>
    <row r="6" spans="1:13" x14ac:dyDescent="0.35">
      <c r="A6" s="121"/>
      <c r="D6" s="282" t="s">
        <v>23</v>
      </c>
      <c r="E6" s="283">
        <f>SUM(E4:E5)</f>
        <v>450</v>
      </c>
      <c r="F6" s="282"/>
      <c r="H6" s="121"/>
      <c r="I6" s="183"/>
      <c r="J6" s="185"/>
      <c r="K6" s="282" t="s">
        <v>23</v>
      </c>
      <c r="L6" s="48">
        <f>SUM(L4:L4)</f>
        <v>200</v>
      </c>
      <c r="M6" s="105"/>
    </row>
    <row r="7" spans="1:13" x14ac:dyDescent="0.35">
      <c r="I7" s="140"/>
      <c r="J7" s="148"/>
      <c r="L7" s="182"/>
    </row>
    <row r="8" spans="1:13" x14ac:dyDescent="0.35">
      <c r="A8" s="111"/>
      <c r="B8" s="176"/>
      <c r="C8" s="186"/>
      <c r="D8" s="111"/>
      <c r="E8" s="181"/>
      <c r="F8" s="111"/>
      <c r="H8" s="111"/>
      <c r="I8" s="176" t="s">
        <v>128</v>
      </c>
      <c r="J8" s="186"/>
      <c r="K8" s="111"/>
      <c r="L8" s="181"/>
      <c r="M8" s="111"/>
    </row>
    <row r="9" spans="1:13" x14ac:dyDescent="0.35">
      <c r="A9" s="134" t="s">
        <v>78</v>
      </c>
      <c r="B9" s="177"/>
      <c r="C9" s="187"/>
      <c r="D9" s="47" t="s">
        <v>79</v>
      </c>
      <c r="F9" s="47" t="s">
        <v>80</v>
      </c>
      <c r="H9" s="134" t="s">
        <v>78</v>
      </c>
      <c r="I9" s="177"/>
      <c r="J9" s="187"/>
      <c r="K9" s="47" t="s">
        <v>79</v>
      </c>
      <c r="L9" s="182"/>
      <c r="M9" s="47" t="s">
        <v>80</v>
      </c>
    </row>
    <row r="10" spans="1:13" x14ac:dyDescent="0.35">
      <c r="A10" s="135" t="s">
        <v>30</v>
      </c>
      <c r="B10" s="176"/>
      <c r="C10" s="186"/>
      <c r="D10" s="111" t="s">
        <v>81</v>
      </c>
      <c r="F10" s="111" t="s">
        <v>82</v>
      </c>
      <c r="H10" s="135" t="s">
        <v>30</v>
      </c>
      <c r="I10" s="176"/>
      <c r="J10" s="186"/>
      <c r="K10" s="111" t="s">
        <v>81</v>
      </c>
      <c r="L10" s="182"/>
      <c r="M10" s="111" t="s">
        <v>82</v>
      </c>
    </row>
    <row r="11" spans="1:13" x14ac:dyDescent="0.35">
      <c r="I11" s="140"/>
      <c r="J11" s="148"/>
      <c r="L11" s="182"/>
    </row>
    <row r="12" spans="1:13" ht="28.5" x14ac:dyDescent="0.65">
      <c r="A12" s="371"/>
      <c r="B12" s="371"/>
      <c r="C12" s="371"/>
      <c r="D12" s="371"/>
      <c r="E12" s="371"/>
      <c r="F12" s="371"/>
      <c r="G12" s="105"/>
      <c r="H12" s="374" t="s">
        <v>0</v>
      </c>
      <c r="I12" s="374"/>
      <c r="J12" s="374"/>
      <c r="K12" s="374"/>
      <c r="L12" s="374"/>
    </row>
    <row r="13" spans="1:13" ht="21" x14ac:dyDescent="0.35">
      <c r="A13" s="323" t="s">
        <v>0</v>
      </c>
      <c r="B13" s="323"/>
      <c r="C13" s="323"/>
      <c r="D13" s="323"/>
      <c r="E13" s="323"/>
      <c r="F13" s="323"/>
      <c r="J13" t="s">
        <v>70</v>
      </c>
    </row>
    <row r="14" spans="1:13" ht="18.5" x14ac:dyDescent="0.35">
      <c r="A14" s="375"/>
      <c r="B14" s="375"/>
      <c r="C14" s="376" t="s">
        <v>123</v>
      </c>
      <c r="D14" s="376"/>
      <c r="E14" s="376"/>
      <c r="F14" s="136"/>
    </row>
    <row r="15" spans="1:13" x14ac:dyDescent="0.35">
      <c r="A15" s="105" t="s">
        <v>77</v>
      </c>
      <c r="B15" s="175" t="s">
        <v>36</v>
      </c>
      <c r="C15" s="85" t="s">
        <v>55</v>
      </c>
      <c r="D15" s="105" t="s">
        <v>5</v>
      </c>
      <c r="E15" s="105" t="s">
        <v>56</v>
      </c>
      <c r="F15" s="105" t="s">
        <v>124</v>
      </c>
      <c r="H15" s="343" t="s">
        <v>36</v>
      </c>
      <c r="I15" s="345"/>
      <c r="J15" s="99" t="s">
        <v>68</v>
      </c>
      <c r="K15" s="99" t="s">
        <v>131</v>
      </c>
      <c r="L15" s="99" t="s">
        <v>56</v>
      </c>
    </row>
    <row r="16" spans="1:13" ht="28" customHeight="1" x14ac:dyDescent="0.35">
      <c r="A16" s="132">
        <v>1</v>
      </c>
      <c r="B16" s="195">
        <v>45327</v>
      </c>
      <c r="C16" s="184" t="s">
        <v>148</v>
      </c>
      <c r="D16" s="105" t="s">
        <v>135</v>
      </c>
      <c r="E16" s="105">
        <v>200</v>
      </c>
      <c r="F16" s="105" t="s">
        <v>161</v>
      </c>
      <c r="H16" s="372"/>
      <c r="I16" s="373"/>
      <c r="J16" s="99"/>
      <c r="K16" s="99"/>
      <c r="L16" s="99"/>
    </row>
    <row r="17" spans="1:12" x14ac:dyDescent="0.35">
      <c r="B17"/>
      <c r="C17"/>
      <c r="E17"/>
      <c r="L17" s="99"/>
    </row>
    <row r="18" spans="1:12" x14ac:dyDescent="0.35">
      <c r="A18" s="121"/>
      <c r="B18" s="183"/>
      <c r="C18" s="185"/>
      <c r="D18" s="105" t="s">
        <v>23</v>
      </c>
      <c r="E18" s="48">
        <f>SUM(E16:E16)</f>
        <v>200</v>
      </c>
      <c r="F18" s="105"/>
      <c r="K18" s="99" t="s">
        <v>23</v>
      </c>
      <c r="L18" s="99">
        <v>500</v>
      </c>
    </row>
    <row r="20" spans="1:12" x14ac:dyDescent="0.35">
      <c r="A20" s="111"/>
      <c r="B20" s="176" t="s">
        <v>128</v>
      </c>
      <c r="C20" s="186"/>
      <c r="D20" s="111"/>
      <c r="E20" s="181"/>
      <c r="F20" s="111"/>
      <c r="H20" s="134"/>
      <c r="I20" s="177"/>
      <c r="J20" s="47"/>
      <c r="L20" s="47"/>
    </row>
    <row r="21" spans="1:12" x14ac:dyDescent="0.35">
      <c r="A21" s="134" t="s">
        <v>78</v>
      </c>
      <c r="B21" s="177"/>
      <c r="C21" s="187"/>
      <c r="D21" s="47" t="s">
        <v>79</v>
      </c>
      <c r="F21" s="47" t="s">
        <v>80</v>
      </c>
      <c r="H21" s="135"/>
      <c r="I21" s="176"/>
      <c r="J21" s="111"/>
      <c r="L21" s="111"/>
    </row>
    <row r="22" spans="1:12" x14ac:dyDescent="0.35">
      <c r="A22" s="135" t="s">
        <v>30</v>
      </c>
      <c r="B22" s="176"/>
      <c r="C22" s="186"/>
      <c r="D22" s="111" t="s">
        <v>81</v>
      </c>
      <c r="F22" s="111" t="s">
        <v>82</v>
      </c>
      <c r="H22" s="134" t="s">
        <v>78</v>
      </c>
      <c r="I22" s="177"/>
      <c r="J22" s="47" t="s">
        <v>79</v>
      </c>
      <c r="L22" s="47" t="s">
        <v>80</v>
      </c>
    </row>
    <row r="23" spans="1:12" x14ac:dyDescent="0.35">
      <c r="H23" s="135" t="s">
        <v>30</v>
      </c>
      <c r="I23" s="176"/>
      <c r="J23" s="111" t="s">
        <v>81</v>
      </c>
      <c r="L23" s="111" t="s">
        <v>82</v>
      </c>
    </row>
  </sheetData>
  <mergeCells count="13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4.5" x14ac:dyDescent="0.35"/>
  <cols>
    <col min="1" max="1" width="8.54296875" customWidth="1"/>
    <col min="2" max="2" width="12.7265625" customWidth="1"/>
    <col min="3" max="3" width="38" customWidth="1"/>
    <col min="4" max="4" width="20" customWidth="1"/>
    <col min="7" max="7" width="13" customWidth="1"/>
    <col min="8" max="8" width="46.26953125" customWidth="1"/>
    <col min="9" max="9" width="18" customWidth="1"/>
  </cols>
  <sheetData>
    <row r="1" spans="1:9" ht="23.5" x14ac:dyDescent="0.55000000000000004">
      <c r="A1" s="387" t="s">
        <v>91</v>
      </c>
      <c r="B1" s="388"/>
      <c r="C1" s="388"/>
      <c r="D1" s="389"/>
      <c r="F1" s="379" t="s">
        <v>106</v>
      </c>
      <c r="G1" s="380"/>
      <c r="H1" s="380"/>
      <c r="I1" s="381"/>
    </row>
    <row r="2" spans="1:9" ht="18.5" x14ac:dyDescent="0.45">
      <c r="A2" s="390" t="s">
        <v>92</v>
      </c>
      <c r="B2" s="383"/>
      <c r="C2" s="383"/>
      <c r="D2" s="391"/>
      <c r="F2" s="382" t="s">
        <v>92</v>
      </c>
      <c r="G2" s="383"/>
      <c r="H2" s="383"/>
      <c r="I2" s="384"/>
    </row>
    <row r="3" spans="1:9" x14ac:dyDescent="0.35">
      <c r="A3" s="139"/>
      <c r="B3" s="140"/>
      <c r="D3" s="141"/>
      <c r="F3" s="153"/>
      <c r="I3" s="103"/>
    </row>
    <row r="4" spans="1:9" x14ac:dyDescent="0.35">
      <c r="A4" s="142" t="s">
        <v>93</v>
      </c>
      <c r="B4" s="143" t="s">
        <v>36</v>
      </c>
      <c r="C4" s="142" t="s">
        <v>55</v>
      </c>
      <c r="D4" s="142" t="s">
        <v>94</v>
      </c>
      <c r="F4" s="161"/>
      <c r="G4" s="162"/>
      <c r="H4" s="162"/>
      <c r="I4" s="163"/>
    </row>
    <row r="5" spans="1:9" x14ac:dyDescent="0.35">
      <c r="A5" s="108">
        <v>1</v>
      </c>
      <c r="B5" s="144"/>
      <c r="C5" s="145"/>
      <c r="D5" s="108"/>
      <c r="F5" s="153"/>
      <c r="I5" s="103"/>
    </row>
    <row r="6" spans="1:9" x14ac:dyDescent="0.35">
      <c r="A6" s="108">
        <v>2</v>
      </c>
      <c r="B6" s="144"/>
      <c r="C6" s="145"/>
      <c r="D6" s="108"/>
      <c r="F6" s="154" t="s">
        <v>93</v>
      </c>
      <c r="G6" s="142" t="s">
        <v>36</v>
      </c>
      <c r="H6" s="142" t="s">
        <v>55</v>
      </c>
      <c r="I6" s="155" t="s">
        <v>94</v>
      </c>
    </row>
    <row r="7" spans="1:9" x14ac:dyDescent="0.35">
      <c r="A7" s="108">
        <v>3</v>
      </c>
      <c r="B7" s="144"/>
      <c r="C7" s="145"/>
      <c r="D7" s="108"/>
      <c r="F7" s="107">
        <v>1</v>
      </c>
      <c r="G7" s="144"/>
      <c r="H7" s="164"/>
      <c r="I7" s="109"/>
    </row>
    <row r="8" spans="1:9" x14ac:dyDescent="0.35">
      <c r="A8" s="108">
        <v>4</v>
      </c>
      <c r="B8" s="144"/>
      <c r="C8" s="108"/>
      <c r="D8" s="108"/>
      <c r="F8" s="107">
        <v>2</v>
      </c>
      <c r="G8" s="108"/>
      <c r="H8" s="108"/>
      <c r="I8" s="109"/>
    </row>
    <row r="9" spans="1:9" x14ac:dyDescent="0.35">
      <c r="A9" s="108">
        <v>5</v>
      </c>
      <c r="B9" s="144"/>
      <c r="C9" s="108"/>
      <c r="D9" s="108"/>
      <c r="F9" s="107">
        <v>3</v>
      </c>
      <c r="G9" s="108"/>
      <c r="H9" s="108"/>
      <c r="I9" s="109"/>
    </row>
    <row r="10" spans="1:9" x14ac:dyDescent="0.35">
      <c r="A10" s="108">
        <v>5</v>
      </c>
      <c r="B10" s="144"/>
      <c r="C10" s="108"/>
      <c r="D10" s="108"/>
      <c r="F10" s="107">
        <v>4</v>
      </c>
      <c r="G10" s="108"/>
      <c r="H10" s="108"/>
      <c r="I10" s="109"/>
    </row>
    <row r="11" spans="1:9" x14ac:dyDescent="0.35">
      <c r="A11" s="108">
        <v>6</v>
      </c>
      <c r="B11" s="144"/>
      <c r="C11" s="108"/>
      <c r="D11" s="108"/>
      <c r="F11" s="107">
        <v>5</v>
      </c>
      <c r="G11" s="108"/>
      <c r="H11" s="108"/>
      <c r="I11" s="109"/>
    </row>
    <row r="12" spans="1:9" ht="21" x14ac:dyDescent="0.35">
      <c r="A12" s="108">
        <v>7</v>
      </c>
      <c r="B12" s="144"/>
      <c r="C12" s="108"/>
      <c r="D12" s="108"/>
      <c r="F12" s="385" t="s">
        <v>23</v>
      </c>
      <c r="G12" s="386"/>
      <c r="H12" s="386"/>
      <c r="I12" s="109"/>
    </row>
    <row r="13" spans="1:9" ht="21" x14ac:dyDescent="0.35">
      <c r="A13" s="392" t="s">
        <v>23</v>
      </c>
      <c r="B13" s="386"/>
      <c r="C13" s="386"/>
      <c r="D13" s="108">
        <f>SUM(D5:D12)</f>
        <v>0</v>
      </c>
      <c r="F13" s="153"/>
      <c r="I13" s="103"/>
    </row>
    <row r="14" spans="1:9" x14ac:dyDescent="0.35">
      <c r="A14" s="139"/>
      <c r="B14" s="140"/>
      <c r="D14" s="141"/>
      <c r="F14" s="153"/>
      <c r="I14" s="103"/>
    </row>
    <row r="15" spans="1:9" x14ac:dyDescent="0.35">
      <c r="A15" s="139"/>
      <c r="B15" s="146" t="s">
        <v>95</v>
      </c>
      <c r="C15" t="s">
        <v>96</v>
      </c>
      <c r="D15" s="141"/>
      <c r="F15" s="113"/>
      <c r="I15" s="103"/>
    </row>
    <row r="16" spans="1:9" x14ac:dyDescent="0.35">
      <c r="A16" s="147" t="s">
        <v>97</v>
      </c>
      <c r="B16" s="140" t="s">
        <v>98</v>
      </c>
      <c r="D16" s="141"/>
      <c r="F16" s="153"/>
      <c r="I16" s="103"/>
    </row>
    <row r="17" spans="1:9" x14ac:dyDescent="0.35">
      <c r="A17" s="139" t="s">
        <v>99</v>
      </c>
      <c r="B17" s="148" t="s">
        <v>100</v>
      </c>
      <c r="D17" s="141"/>
      <c r="F17" s="153"/>
      <c r="I17" s="103"/>
    </row>
    <row r="18" spans="1:9" x14ac:dyDescent="0.35">
      <c r="A18" s="139"/>
      <c r="B18" s="140"/>
      <c r="D18" s="141"/>
      <c r="F18" s="113" t="s">
        <v>107</v>
      </c>
      <c r="H18" t="s">
        <v>108</v>
      </c>
      <c r="I18" s="103"/>
    </row>
    <row r="19" spans="1:9" x14ac:dyDescent="0.35">
      <c r="A19" s="139"/>
      <c r="B19" s="140"/>
      <c r="D19" s="141"/>
      <c r="F19" s="153"/>
      <c r="I19" s="103"/>
    </row>
    <row r="20" spans="1:9" x14ac:dyDescent="0.35">
      <c r="A20" s="147" t="s">
        <v>101</v>
      </c>
      <c r="B20" s="134"/>
      <c r="C20" s="47" t="s">
        <v>31</v>
      </c>
      <c r="D20" s="141"/>
      <c r="F20" s="153"/>
      <c r="I20" s="103"/>
    </row>
    <row r="21" spans="1:9" x14ac:dyDescent="0.35">
      <c r="A21" s="149"/>
      <c r="B21" s="150"/>
      <c r="C21" s="151"/>
      <c r="D21" s="152"/>
      <c r="F21" s="153"/>
      <c r="I21" s="103"/>
    </row>
    <row r="22" spans="1:9" ht="15" thickBot="1" x14ac:dyDescent="0.4">
      <c r="A22" s="47"/>
      <c r="B22" s="140"/>
      <c r="F22" s="113" t="s">
        <v>101</v>
      </c>
      <c r="H22" s="47" t="s">
        <v>31</v>
      </c>
      <c r="I22" s="103"/>
    </row>
    <row r="23" spans="1:9" ht="24" thickBot="1" x14ac:dyDescent="0.6">
      <c r="A23" s="379" t="s">
        <v>91</v>
      </c>
      <c r="B23" s="380"/>
      <c r="C23" s="380"/>
      <c r="D23" s="381"/>
      <c r="F23" s="159"/>
      <c r="G23" s="126"/>
      <c r="H23" s="126"/>
      <c r="I23" s="127"/>
    </row>
    <row r="24" spans="1:9" ht="18.5" x14ac:dyDescent="0.45">
      <c r="A24" s="382" t="s">
        <v>92</v>
      </c>
      <c r="B24" s="383"/>
      <c r="C24" s="383"/>
      <c r="D24" s="384"/>
    </row>
    <row r="25" spans="1:9" x14ac:dyDescent="0.35">
      <c r="A25" s="153"/>
      <c r="B25" s="140"/>
      <c r="D25" s="103"/>
    </row>
    <row r="26" spans="1:9" x14ac:dyDescent="0.35">
      <c r="A26" s="154" t="s">
        <v>93</v>
      </c>
      <c r="B26" s="143" t="s">
        <v>36</v>
      </c>
      <c r="C26" s="142" t="s">
        <v>55</v>
      </c>
      <c r="D26" s="155" t="s">
        <v>94</v>
      </c>
    </row>
    <row r="27" spans="1:9" x14ac:dyDescent="0.35">
      <c r="A27" s="107">
        <v>1</v>
      </c>
      <c r="B27" s="144">
        <v>44927</v>
      </c>
      <c r="C27" s="156" t="s">
        <v>102</v>
      </c>
      <c r="D27" s="109">
        <v>200</v>
      </c>
    </row>
    <row r="28" spans="1:9" x14ac:dyDescent="0.35">
      <c r="A28" s="107">
        <v>2</v>
      </c>
      <c r="B28" s="144"/>
      <c r="C28" s="157"/>
      <c r="D28" s="109"/>
    </row>
    <row r="29" spans="1:9" x14ac:dyDescent="0.35">
      <c r="A29" s="107">
        <v>3</v>
      </c>
      <c r="B29" s="144"/>
      <c r="C29" s="157"/>
      <c r="D29" s="109"/>
    </row>
    <row r="30" spans="1:9" x14ac:dyDescent="0.35">
      <c r="A30" s="107">
        <v>4</v>
      </c>
      <c r="B30" s="144"/>
      <c r="C30" s="157"/>
      <c r="D30" s="109"/>
    </row>
    <row r="31" spans="1:9" x14ac:dyDescent="0.35">
      <c r="A31" s="107">
        <v>5</v>
      </c>
      <c r="B31" s="144"/>
      <c r="C31" s="108"/>
      <c r="D31" s="109"/>
    </row>
    <row r="32" spans="1:9" x14ac:dyDescent="0.35">
      <c r="A32" s="107">
        <v>6</v>
      </c>
      <c r="B32" s="144"/>
      <c r="C32" s="108"/>
      <c r="D32" s="109"/>
    </row>
    <row r="33" spans="1:4" x14ac:dyDescent="0.35">
      <c r="A33" s="107">
        <v>7</v>
      </c>
      <c r="B33" s="144"/>
      <c r="C33" s="108"/>
      <c r="D33" s="109"/>
    </row>
    <row r="34" spans="1:4" ht="21" x14ac:dyDescent="0.35">
      <c r="A34" s="385" t="s">
        <v>23</v>
      </c>
      <c r="B34" s="386"/>
      <c r="C34" s="386"/>
      <c r="D34" s="109">
        <f>SUM(D27:D33)</f>
        <v>200</v>
      </c>
    </row>
    <row r="35" spans="1:4" x14ac:dyDescent="0.35">
      <c r="A35" s="153"/>
      <c r="B35" s="140"/>
      <c r="D35" s="103"/>
    </row>
    <row r="36" spans="1:4" x14ac:dyDescent="0.35">
      <c r="A36" s="377"/>
      <c r="B36" s="326"/>
      <c r="C36" s="326"/>
      <c r="D36" s="378"/>
    </row>
    <row r="37" spans="1:4" x14ac:dyDescent="0.35">
      <c r="A37" s="113"/>
      <c r="B37" s="158"/>
      <c r="C37" s="148"/>
      <c r="D37" s="103"/>
    </row>
    <row r="38" spans="1:4" x14ac:dyDescent="0.35">
      <c r="A38" s="153" t="s">
        <v>103</v>
      </c>
      <c r="B38" s="140" t="s">
        <v>104</v>
      </c>
      <c r="D38" s="103"/>
    </row>
    <row r="39" spans="1:4" x14ac:dyDescent="0.35">
      <c r="A39" s="113" t="s">
        <v>99</v>
      </c>
      <c r="B39" s="140" t="s">
        <v>105</v>
      </c>
      <c r="D39" s="103"/>
    </row>
    <row r="40" spans="1:4" x14ac:dyDescent="0.35">
      <c r="A40" s="153"/>
      <c r="B40" s="140"/>
      <c r="D40" s="103"/>
    </row>
    <row r="41" spans="1:4" x14ac:dyDescent="0.35">
      <c r="A41" s="153"/>
      <c r="B41" s="140"/>
      <c r="D41" s="103"/>
    </row>
    <row r="42" spans="1:4" x14ac:dyDescent="0.35">
      <c r="A42" s="153"/>
      <c r="B42" s="140"/>
      <c r="D42" s="103"/>
    </row>
    <row r="43" spans="1:4" x14ac:dyDescent="0.35">
      <c r="A43" s="153"/>
      <c r="B43" s="140"/>
      <c r="D43" s="103"/>
    </row>
    <row r="44" spans="1:4" x14ac:dyDescent="0.35">
      <c r="A44" s="153"/>
      <c r="B44" s="140"/>
      <c r="D44" s="103"/>
    </row>
    <row r="45" spans="1:4" x14ac:dyDescent="0.35">
      <c r="A45" s="113" t="s">
        <v>101</v>
      </c>
      <c r="B45" s="140"/>
      <c r="C45" s="47" t="s">
        <v>31</v>
      </c>
      <c r="D45" s="103"/>
    </row>
    <row r="46" spans="1:4" ht="15" thickBot="1" x14ac:dyDescent="0.4">
      <c r="A46" s="159"/>
      <c r="B46" s="160"/>
      <c r="C46" s="126"/>
      <c r="D46" s="127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4.5" x14ac:dyDescent="0.35"/>
  <cols>
    <col min="1" max="1" width="7.81640625" customWidth="1"/>
    <col min="3" max="3" width="34" customWidth="1"/>
    <col min="4" max="4" width="14.26953125" customWidth="1"/>
    <col min="5" max="5" width="23.26953125" customWidth="1"/>
    <col min="6" max="6" width="15.1796875" customWidth="1"/>
    <col min="9" max="9" width="11.26953125" customWidth="1"/>
    <col min="10" max="10" width="30.7265625" customWidth="1"/>
    <col min="12" max="12" width="15.54296875" customWidth="1"/>
    <col min="13" max="13" width="15.7265625" customWidth="1"/>
  </cols>
  <sheetData>
    <row r="1" spans="1:13" ht="23.5" x14ac:dyDescent="0.55000000000000004">
      <c r="A1" s="379" t="s">
        <v>109</v>
      </c>
      <c r="B1" s="380"/>
      <c r="C1" s="380"/>
      <c r="D1" s="380"/>
      <c r="E1" s="380"/>
      <c r="F1" s="381"/>
      <c r="H1" s="379" t="s">
        <v>113</v>
      </c>
      <c r="I1" s="380"/>
      <c r="J1" s="380"/>
      <c r="K1" s="380"/>
      <c r="L1" s="380"/>
      <c r="M1" s="381"/>
    </row>
    <row r="2" spans="1:13" ht="18.5" x14ac:dyDescent="0.45">
      <c r="A2" s="382" t="s">
        <v>92</v>
      </c>
      <c r="B2" s="383"/>
      <c r="C2" s="383"/>
      <c r="D2" s="383"/>
      <c r="E2" s="383"/>
      <c r="F2" s="384"/>
      <c r="H2" s="382" t="s">
        <v>92</v>
      </c>
      <c r="I2" s="383"/>
      <c r="J2" s="383"/>
      <c r="K2" s="383"/>
      <c r="L2" s="383"/>
      <c r="M2" s="384"/>
    </row>
    <row r="3" spans="1:13" x14ac:dyDescent="0.35">
      <c r="A3" s="153"/>
      <c r="B3" s="140"/>
      <c r="F3" s="103"/>
      <c r="H3" s="102"/>
      <c r="M3" s="103"/>
    </row>
    <row r="4" spans="1:13" x14ac:dyDescent="0.35">
      <c r="A4" s="161"/>
      <c r="B4" s="170"/>
      <c r="C4" s="162"/>
      <c r="D4" s="162"/>
      <c r="E4" s="162"/>
      <c r="F4" s="163"/>
      <c r="H4" s="154" t="s">
        <v>93</v>
      </c>
      <c r="I4" s="143" t="s">
        <v>36</v>
      </c>
      <c r="J4" s="142" t="s">
        <v>110</v>
      </c>
      <c r="K4" s="142" t="s">
        <v>111</v>
      </c>
      <c r="L4" s="165" t="s">
        <v>55</v>
      </c>
      <c r="M4" s="155" t="s">
        <v>94</v>
      </c>
    </row>
    <row r="5" spans="1:13" x14ac:dyDescent="0.35">
      <c r="A5" s="153"/>
      <c r="B5" s="140"/>
      <c r="F5" s="103"/>
      <c r="H5" s="107">
        <v>1</v>
      </c>
      <c r="I5" s="144"/>
      <c r="J5" s="108"/>
      <c r="K5" s="108"/>
      <c r="L5" s="133"/>
      <c r="M5" s="109"/>
    </row>
    <row r="6" spans="1:13" x14ac:dyDescent="0.35">
      <c r="A6" s="154" t="s">
        <v>93</v>
      </c>
      <c r="B6" s="143" t="s">
        <v>36</v>
      </c>
      <c r="C6" s="142" t="s">
        <v>110</v>
      </c>
      <c r="D6" s="142" t="s">
        <v>111</v>
      </c>
      <c r="E6" s="165" t="s">
        <v>55</v>
      </c>
      <c r="F6" s="155" t="s">
        <v>94</v>
      </c>
      <c r="H6" s="107">
        <v>2</v>
      </c>
      <c r="I6" s="144"/>
      <c r="J6" s="108"/>
      <c r="K6" s="108"/>
      <c r="L6" s="133"/>
      <c r="M6" s="109"/>
    </row>
    <row r="7" spans="1:13" ht="21" x14ac:dyDescent="0.35">
      <c r="A7" s="107">
        <v>1</v>
      </c>
      <c r="B7" s="144"/>
      <c r="C7" s="108"/>
      <c r="D7" s="108"/>
      <c r="E7" s="166"/>
      <c r="F7" s="109"/>
      <c r="H7" s="385" t="s">
        <v>23</v>
      </c>
      <c r="I7" s="386"/>
      <c r="J7" s="386"/>
      <c r="K7" s="386"/>
      <c r="L7" s="393"/>
      <c r="M7" s="109"/>
    </row>
    <row r="8" spans="1:13" x14ac:dyDescent="0.35">
      <c r="A8" s="107">
        <v>2</v>
      </c>
      <c r="B8" s="144"/>
      <c r="C8" s="108"/>
      <c r="D8" s="108"/>
      <c r="E8" s="133"/>
      <c r="F8" s="109"/>
      <c r="H8" s="102"/>
      <c r="M8" s="103"/>
    </row>
    <row r="9" spans="1:13" ht="21" x14ac:dyDescent="0.35">
      <c r="A9" s="385" t="s">
        <v>23</v>
      </c>
      <c r="B9" s="386"/>
      <c r="C9" s="386"/>
      <c r="D9" s="386"/>
      <c r="E9" s="393"/>
      <c r="F9" s="109"/>
      <c r="H9" s="102"/>
      <c r="M9" s="103"/>
    </row>
    <row r="10" spans="1:13" x14ac:dyDescent="0.35">
      <c r="A10" s="153"/>
      <c r="B10" s="140"/>
      <c r="F10" s="103"/>
      <c r="H10" s="102"/>
      <c r="M10" s="103"/>
    </row>
    <row r="11" spans="1:13" x14ac:dyDescent="0.35">
      <c r="A11" s="113"/>
      <c r="B11" s="140"/>
      <c r="F11" s="103"/>
      <c r="H11" s="153"/>
      <c r="I11" s="140"/>
      <c r="M11" s="103"/>
    </row>
    <row r="12" spans="1:13" x14ac:dyDescent="0.35">
      <c r="A12" s="153"/>
      <c r="B12" s="140"/>
      <c r="F12" s="103"/>
      <c r="H12" s="153"/>
      <c r="I12" s="140"/>
      <c r="M12" s="103"/>
    </row>
    <row r="13" spans="1:13" x14ac:dyDescent="0.35">
      <c r="A13" s="153"/>
      <c r="B13" s="140"/>
      <c r="F13" s="103"/>
      <c r="H13" s="153"/>
      <c r="I13" s="140"/>
      <c r="M13" s="103"/>
    </row>
    <row r="14" spans="1:13" x14ac:dyDescent="0.35">
      <c r="A14" s="153"/>
      <c r="B14" s="167" t="s">
        <v>112</v>
      </c>
      <c r="C14" s="47"/>
      <c r="D14" s="168" t="s">
        <v>101</v>
      </c>
      <c r="E14" s="47"/>
      <c r="F14" s="169" t="s">
        <v>31</v>
      </c>
      <c r="H14" s="171" t="s">
        <v>112</v>
      </c>
      <c r="I14" s="47"/>
      <c r="J14" s="168" t="s">
        <v>101</v>
      </c>
      <c r="K14" s="47"/>
      <c r="M14" s="169" t="s">
        <v>31</v>
      </c>
    </row>
    <row r="15" spans="1:13" ht="15" thickBot="1" x14ac:dyDescent="0.4">
      <c r="A15" s="159"/>
      <c r="B15" s="160"/>
      <c r="C15" s="126"/>
      <c r="D15" s="126"/>
      <c r="E15" s="126"/>
      <c r="F15" s="127"/>
      <c r="H15" s="159"/>
      <c r="I15" s="160"/>
      <c r="J15" s="126"/>
      <c r="K15" s="126"/>
      <c r="L15" s="126"/>
      <c r="M15" s="127"/>
    </row>
    <row r="16" spans="1:13" x14ac:dyDescent="0.35">
      <c r="A16" s="153"/>
      <c r="B16" s="140"/>
      <c r="H16" s="47"/>
      <c r="I16" s="140"/>
    </row>
    <row r="17" spans="8:12" x14ac:dyDescent="0.35">
      <c r="H17" s="134"/>
      <c r="I17" s="140"/>
    </row>
    <row r="18" spans="8:12" x14ac:dyDescent="0.35">
      <c r="H18" s="47"/>
      <c r="I18" s="140"/>
    </row>
    <row r="19" spans="8:12" x14ac:dyDescent="0.35">
      <c r="H19" s="47"/>
      <c r="I19" s="140"/>
    </row>
    <row r="20" spans="8:12" x14ac:dyDescent="0.35">
      <c r="H20" s="47"/>
      <c r="I20" s="140"/>
    </row>
    <row r="21" spans="8:12" x14ac:dyDescent="0.35">
      <c r="H21" s="134"/>
      <c r="I21" s="140"/>
      <c r="K21" s="47"/>
      <c r="L21" s="47"/>
    </row>
    <row r="22" spans="8:12" x14ac:dyDescent="0.35">
      <c r="H22" s="47"/>
      <c r="I22" s="140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 Ahmed</cp:lastModifiedBy>
  <cp:lastPrinted>2026-02-02T10:13:03Z</cp:lastPrinted>
  <dcterms:created xsi:type="dcterms:W3CDTF">2023-01-08T05:51:58Z</dcterms:created>
  <dcterms:modified xsi:type="dcterms:W3CDTF">2026-02-02T14:36:58Z</dcterms:modified>
</cp:coreProperties>
</file>