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office file\petty cash bill\1-1-2026 to 31-12-2026\1-2-2026 TO 28-1-2026\1-2-2026 TO 10-2-2026\"/>
    </mc:Choice>
  </mc:AlternateContent>
  <xr:revisionPtr revIDLastSave="0" documentId="13_ncr:1_{2E08EA94-1B8B-4A42-B077-4015A882C42A}" xr6:coauthVersionLast="47" xr6:coauthVersionMax="47" xr10:uidLastSave="{00000000-0000-0000-0000-000000000000}"/>
  <bookViews>
    <workbookView xWindow="-110" yWindow="-110" windowWidth="19420" windowHeight="10300" tabRatio="863" firstSheet="8" activeTab="19" xr2:uid="{00000000-000D-0000-FFFF-FFFF00000000}"/>
  </bookViews>
  <sheets>
    <sheet name="Front Page" sheetId="1" r:id="rId1"/>
    <sheet name="1. B2B- IPP" sheetId="2" state="hidden" r:id="rId2"/>
    <sheet name="2. B2C" sheetId="3" r:id="rId3"/>
    <sheet name="3. B2B-Non Power" sheetId="4" state="hidden" r:id="rId4"/>
    <sheet name="Goods Delivery Voucher" sheetId="19" r:id="rId5"/>
    <sheet name="Conveyance Voucher" sheetId="18" r:id="rId6"/>
    <sheet name="4. Goods Sending Expense" sheetId="5" r:id="rId7"/>
    <sheet name="5. Goods Receiving Expense" sheetId="6" r:id="rId8"/>
    <sheet name="6.WH-Depot Maintenance" sheetId="7" r:id="rId9"/>
    <sheet name="9. Stationary" sheetId="10" r:id="rId10"/>
    <sheet name="7. Utilities" sheetId="8" r:id="rId11"/>
    <sheet name="8. Printing" sheetId="9" state="hidden" r:id="rId12"/>
    <sheet name="10-11.Delivery Van Expense" sheetId="11" state="hidden" r:id="rId13"/>
    <sheet name="12. Entertainment" sheetId="12" r:id="rId14"/>
    <sheet name="13. Food Allowance" sheetId="13" state="hidden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3">'3. B2B-Non Power'!$3:$3</definedName>
    <definedName name="_xlnm.Print_Titles" localSheetId="6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5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8" l="1"/>
  <c r="G45" i="18"/>
  <c r="G61" i="18"/>
  <c r="G30" i="19"/>
  <c r="E4" i="3"/>
  <c r="L33" i="3" l="1"/>
  <c r="L34" i="3"/>
  <c r="L35" i="3"/>
  <c r="L32" i="3"/>
  <c r="L28" i="3"/>
  <c r="L29" i="3"/>
  <c r="L27" i="3" l="1"/>
  <c r="L30" i="3"/>
  <c r="L31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9" i="3"/>
  <c r="L6" i="3" l="1"/>
  <c r="L7" i="3"/>
  <c r="L8" i="3"/>
  <c r="L5" i="3"/>
  <c r="H4" i="6"/>
  <c r="F4" i="6"/>
  <c r="G111" i="18"/>
  <c r="G95" i="18"/>
  <c r="D3" i="7"/>
  <c r="L6" i="20"/>
  <c r="G74" i="18"/>
  <c r="E6" i="20"/>
  <c r="G10" i="18"/>
  <c r="H4" i="3"/>
  <c r="F4" i="3"/>
  <c r="D4" i="3"/>
  <c r="J4" i="3" l="1"/>
  <c r="L36" i="3"/>
  <c r="L37" i="3"/>
  <c r="L38" i="3"/>
  <c r="L39" i="3"/>
  <c r="L40" i="3"/>
  <c r="L41" i="3"/>
  <c r="L42" i="3"/>
  <c r="L43" i="3"/>
  <c r="E18" i="20"/>
  <c r="J4" i="6"/>
  <c r="E4" i="6"/>
  <c r="D4" i="6"/>
  <c r="O7" i="18" l="1"/>
  <c r="E2" i="10" l="1"/>
  <c r="C13" i="1" s="1"/>
  <c r="O37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D4" i="5"/>
  <c r="D26" i="1" s="1"/>
  <c r="K4" i="4"/>
  <c r="J4" i="4"/>
  <c r="I4" i="4"/>
  <c r="H4" i="4"/>
  <c r="F4" i="4"/>
  <c r="E4" i="4"/>
  <c r="K4" i="3"/>
  <c r="I4" i="3"/>
  <c r="L4" i="3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L4" i="5" l="1"/>
  <c r="C8" i="1" s="1"/>
  <c r="C6" i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<sst xmlns="http://schemas.openxmlformats.org/spreadsheetml/2006/main" count="979" uniqueCount="269">
  <si>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</si>
  <si>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</si>
  <si>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</si>
  <si>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</si>
  <si>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</si>
  <si>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</si>
  <si>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</si>
  <si>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</si>
  <si>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</si>
  <si>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</si>
  <si>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</si>
  <si>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</si>
  <si>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</si>
  <si>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</si>
  <si>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</si>
  <si>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</si>
  <si>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</si>
  <si>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</si>
  <si>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</si>
  <si>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</si>
  <si>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</si>
  <si>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</si>
  <si>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</si>
  <si>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</si>
  <si>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</si>
  <si>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</si>
  <si>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</si>
  <si>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</si>
  <si>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</si>
  <si>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</si>
  <si>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</si>
  <si>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</si>
  <si>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</si>
  <si>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</si>
  <si>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</si>
  <si>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</si>
  <si>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</si>
  <si>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</si>
  <si>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</si>
  <si>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</si>
  <si>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</si>
  <si>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</si>
  <si>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</si>
  <si>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</si>
  <si>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</si>
  <si>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</si>
  <si>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</si>
  <si>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</si>
  <si>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</si>
  <si>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</si>
  <si>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</si>
  <si>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</si>
  <si>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</si>
  <si>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</si>
  <si>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</si>
  <si>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</si>
  <si>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</si>
  <si>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</si>
  <si>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</si>
  <si>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</si>
  <si>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</si>
  <si>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</si>
  <si>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</si>
  <si>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</si>
  <si>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</si>
  <si>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</si>
  <si>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</si>
  <si>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</si>
  <si>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</si>
  <si>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</si>
  <si>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</si>
  <si>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</si>
  <si>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</si>
  <si>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</si>
  <si>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</si>
  <si>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</si>
  <si>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</si>
  <si>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</si>
  <si>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</si>
  <si>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</si>
  <si>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</si>
  <si>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</si>
  <si>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</si>
  <si>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</si>
  <si>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</si>
  <si>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</si>
  <si>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</si>
  <si>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</si>
  <si>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</si>
  <si>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</si>
  <si>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</si>
  <si>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</si>
  <si>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</si>
  <si>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</si>
  <si>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</si>
  <si>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</si>
  <si>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</si>
  <si>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</si>
  <si>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</si>
  <si>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</si>
  <si>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</si>
  <si>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</si>
  <si>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</si>
  <si>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</si>
  <si>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</si>
  <si>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</si>
  <si>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</si>
  <si>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</si>
  <si>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</si>
  <si>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</si>
  <si>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</si>
  <si>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</si>
  <si>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</si>
  <si>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</si>
  <si>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</si>
  <si>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</si>
  <si>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</si>
  <si>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</si>
  <si>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</si>
  <si>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</si>
  <si>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</si>
  <si>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</si>
  <si>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</si>
  <si>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</si>
  <si>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</si>
  <si>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</si>
  <si>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</si>
  <si>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</si>
  <si>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</si>
  <si>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</si>
  <si>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</si>
  <si>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</si>
  <si>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</si>
  <si>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</si>
  <si>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</si>
  <si>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</si>
  <si>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</si>
  <si>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</si>
  <si>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</si>
  <si>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mini bus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</si>
  <si>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</si>
  <si>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</si>
  <si>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</si>
  <si>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</si>
  <si>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</si>
  <si>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</si>
  <si>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</si>
  <si>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Depot</t>
  </si>
  <si>
    <t>Unloading</t>
  </si>
  <si>
    <t>courier</t>
  </si>
  <si>
    <t>Cost: Conveyance,food</t>
  </si>
  <si>
    <t>sohel,arif,ahah alam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</si>
  <si>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</si>
  <si>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</si>
  <si>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</si>
  <si>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</si>
  <si>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</si>
  <si>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</si>
  <si>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</si>
  <si>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</si>
  <si>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</si>
  <si>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</si>
  <si>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Goods Sending</t>
  </si>
  <si>
    <t>rafi</t>
  </si>
  <si>
    <t>rafi,sohel,arif,shah alam</t>
  </si>
  <si>
    <t>shah alam &amp; sohel &amp; rafi</t>
  </si>
  <si>
    <t>B K Traders and Motors Prats</t>
  </si>
  <si>
    <t>Garda Shield Security Serviece Ltd</t>
  </si>
  <si>
    <t>M A Enterprise</t>
  </si>
  <si>
    <t>M/S Shava Engineering Automobile</t>
  </si>
  <si>
    <t>shah alam &amp; rafi</t>
  </si>
  <si>
    <t>99014</t>
  </si>
  <si>
    <t xml:space="preserve">Medda. Sadar. b baria,ashuganj. b baria,Sarail, Vishwa Road, B-Baria		</t>
  </si>
  <si>
    <t>truck</t>
  </si>
  <si>
    <t>Jibon Honda Workshop</t>
  </si>
  <si>
    <t>Alauddin Honda Servicing</t>
  </si>
  <si>
    <t>Abdur Rohim oil Store</t>
  </si>
  <si>
    <t>Jogajog automobiles</t>
  </si>
  <si>
    <t>M/S Ma motors</t>
  </si>
  <si>
    <t>sohel &amp; rafi</t>
  </si>
  <si>
    <t>jessore depot</t>
  </si>
  <si>
    <t>chattagram warehouse</t>
  </si>
  <si>
    <t>jacket delivery mirpur</t>
  </si>
  <si>
    <t>sohel &amp; shah alam</t>
  </si>
  <si>
    <t>sohel</t>
  </si>
  <si>
    <t>Alam brathers</t>
  </si>
  <si>
    <t>New Abu Taher Auto</t>
  </si>
  <si>
    <t>Motor Mujiam</t>
  </si>
  <si>
    <t>Nitol Motors Ltd.</t>
  </si>
  <si>
    <t>M/S Modina Motors</t>
  </si>
  <si>
    <t>Fataha Traders</t>
  </si>
  <si>
    <t>sotota lubricants</t>
  </si>
  <si>
    <t>Ayesha Auto Mobiles</t>
  </si>
  <si>
    <t>sarif</t>
  </si>
  <si>
    <t>cumilla depot</t>
  </si>
  <si>
    <t>stapler pin</t>
  </si>
  <si>
    <t>A4 paper</t>
  </si>
  <si>
    <t>marker pen</t>
  </si>
  <si>
    <t>attendance book</t>
  </si>
  <si>
    <t>rabar</t>
  </si>
  <si>
    <t>gum tabe</t>
  </si>
  <si>
    <t xml:space="preserve"> Stationary </t>
  </si>
  <si>
    <t>Monohorkhadi cold storage</t>
  </si>
  <si>
    <t>M/S Jononi Motors</t>
  </si>
  <si>
    <t>sojon</t>
  </si>
  <si>
    <t>01.02.2026- 10.02.2026</t>
  </si>
  <si>
    <t>Bill No: Cum/107/February'2026</t>
  </si>
  <si>
    <t>Month:  February-2026</t>
  </si>
  <si>
    <t>99532</t>
  </si>
  <si>
    <t>99465</t>
  </si>
  <si>
    <t>99451</t>
  </si>
  <si>
    <t>Forhad Motors</t>
  </si>
  <si>
    <t>Maa Auto Engineering &amp; Service Center</t>
  </si>
  <si>
    <t>Rasel Motors</t>
  </si>
  <si>
    <t xml:space="preserve">099410	</t>
  </si>
  <si>
    <t>M/S Mozahid filling Station</t>
  </si>
  <si>
    <t>Sohel</t>
  </si>
  <si>
    <t>petty cash bill</t>
  </si>
  <si>
    <t>M/S Modina Autoz</t>
  </si>
  <si>
    <t>Arju motors</t>
  </si>
  <si>
    <t>Naim Tyre N Lube House</t>
  </si>
  <si>
    <t>Sm Motors</t>
  </si>
  <si>
    <t>jacekt received</t>
  </si>
  <si>
    <t xml:space="preserve">jacket delivery </t>
  </si>
  <si>
    <t xml:space="preserve">099652	</t>
  </si>
  <si>
    <t xml:space="preserve">	
Modina Motors	</t>
  </si>
  <si>
    <t xml:space="preserve">Raster Matha,Senbagh,Noakhali,College Road,Kobirhat,Noakhali.	</t>
  </si>
  <si>
    <t>auto/bus/cng</t>
  </si>
  <si>
    <t>Chayni bazar,Begumganj, Noakhali,Ashfak plaza,main road Maijdee bazar, Noakhali</t>
  </si>
  <si>
    <t>99316</t>
  </si>
  <si>
    <t>Mozumder market, poddar bazar bishoroad</t>
  </si>
  <si>
    <t xml:space="preserve">	
Beside CNG pump,Hajigonj,Chandpur,Stadium market,Sadar, Chandpur</t>
  </si>
  <si>
    <t>Chatkhil bazar, Chatkhil, Noakhali</t>
  </si>
  <si>
    <t xml:space="preserve"> Mynamoti Cumilla </t>
  </si>
  <si>
    <t>suagonj bazar,under Robi tower,sadar dokkhin, Cumilla.</t>
  </si>
  <si>
    <t>Gowripur Bus stand, daudkandi, comilla</t>
  </si>
  <si>
    <t>buchi North bazar,Bagmara road, Lalmai, Cumilla.</t>
  </si>
  <si>
    <t>Mozumder market, poddar bazar bishoroad,buchi North bazar,Bagmara road, Lalmai, Cumilla.</t>
  </si>
  <si>
    <t>Banshgari Steel Bridge, Bancharampur, B-Baria</t>
  </si>
  <si>
    <t>Mozumder market, poddar bazar</t>
  </si>
  <si>
    <t xml:space="preserve">Basic,Baburhat,sadar,Chandpur,Stadium market,Sadar, Chandpur,Bus station,Ramgonj,Laximpur	</t>
  </si>
  <si>
    <t>99579</t>
  </si>
  <si>
    <t xml:space="preserve">Ashugonj, Brahmanbaria	</t>
  </si>
  <si>
    <t>99547</t>
  </si>
  <si>
    <t>99556</t>
  </si>
  <si>
    <t xml:space="preserve">Passport officer sathe,Faridgonj road,Chandpur,Foysal pumpr sathe,Sadar,Chandpur,Beside fair service,Kachua,Chandpur.	</t>
  </si>
  <si>
    <t>99666</t>
  </si>
  <si>
    <t>station road, cumilla sadar, cumilla</t>
  </si>
  <si>
    <t>99563</t>
  </si>
  <si>
    <t>99635</t>
  </si>
  <si>
    <t>99640</t>
  </si>
  <si>
    <t xml:space="preserve">	
baypas,sonaimuri,Noakhali,Ashfak plaza,main road Maijdee bazar, Noakhali,Senbug rastarmatha, senbug,Noakhali</t>
  </si>
  <si>
    <t>99716</t>
  </si>
  <si>
    <t>cantorment</t>
  </si>
  <si>
    <t>Mozumder market, poddar bazar bishoroad,</t>
  </si>
  <si>
    <t>Mizan Market, Kuti Chowmohoni</t>
  </si>
  <si>
    <t>Stadium market,Sadar, Chandpur</t>
  </si>
  <si>
    <t>arif &amp; sohel</t>
  </si>
  <si>
    <t>Senbug rastarmatha, senbug,Noakhali</t>
  </si>
  <si>
    <t>Beside fair service,Kachua,Chandpur.</t>
  </si>
  <si>
    <t>station road cumilla</t>
  </si>
  <si>
    <t>2 person food</t>
  </si>
  <si>
    <t>11013</t>
  </si>
  <si>
    <t>11026,11022</t>
  </si>
  <si>
    <t>podder bazer</t>
  </si>
  <si>
    <t>A 4Paper,pin,rabar,gum gtab,marker Pen</t>
  </si>
  <si>
    <t>product processing labour bill</t>
  </si>
  <si>
    <t>DO</t>
  </si>
  <si>
    <t>99759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</si>
</sst>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Times New Roman"/>
      <family val="1"/>
    </font>
    <font>
      <b/>
      <sz val="16"/>
      <name val="Times New Roman"/>
      <family val="1"/>
    </font>
    <font>
      <b/>
      <sz val="16"/>
      <color theme="1"/>
      <name val="Calibri"/>
      <family val="2"/>
    </font>
    <font>
      <b/>
      <sz val="16"/>
      <name val="Tahoma"/>
      <family val="2"/>
    </font>
    <font>
      <sz val="16"/>
      <color theme="1"/>
      <name val="Arial"/>
      <family val="2"/>
    </font>
    <font>
      <b/>
      <sz val="16"/>
      <color theme="1"/>
      <name val="Tahoma"/>
      <family val="2"/>
    </font>
    <font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6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2" borderId="3" xfId="0" applyNumberFormat="1" applyFont="1" applyFill="1" applyBorder="1" applyProtection="1">
      <protection locked="0"/>
    </xf>
    <xf numFmtId="0" fontId="30" fillId="2" borderId="3" xfId="0" applyFont="1" applyFill="1" applyBorder="1" applyAlignment="1" applyProtection="1">
      <alignment wrapText="1"/>
      <protection locked="0"/>
    </xf>
    <xf numFmtId="0" fontId="30" fillId="2" borderId="3" xfId="0" applyFont="1" applyFill="1" applyBorder="1" applyProtection="1">
      <protection locked="0"/>
    </xf>
    <xf numFmtId="0" fontId="30" fillId="2" borderId="3" xfId="0" applyFont="1" applyFill="1" applyBorder="1" applyAlignment="1" applyProtection="1">
      <alignment horizontal="center"/>
      <protection locked="0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0" fillId="0" borderId="3" xfId="0" applyNumberForma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2" borderId="0" xfId="0" applyFill="1"/>
    <xf numFmtId="0" fontId="27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164" fontId="2" fillId="2" borderId="21" xfId="0" applyNumberFormat="1" applyFont="1" applyFill="1" applyBorder="1" applyAlignment="1" applyProtection="1">
      <alignment horizontal="center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0" fontId="35" fillId="9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0" fontId="36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0" fillId="2" borderId="3" xfId="0" applyFill="1" applyBorder="1"/>
    <xf numFmtId="0" fontId="5" fillId="2" borderId="18" xfId="0" applyFont="1" applyFill="1" applyBorder="1" applyAlignment="1" applyProtection="1">
      <alignment horizontal="center" vertical="center"/>
      <protection locked="0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/>
    <xf numFmtId="0" fontId="17" fillId="2" borderId="18" xfId="0" applyFont="1" applyFill="1" applyBorder="1"/>
    <xf numFmtId="0" fontId="5" fillId="0" borderId="2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6" fillId="2" borderId="2" xfId="0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Alignment="1" applyProtection="1">
      <alignment horizontal="center" vertical="center" wrapText="1"/>
      <protection locked="0"/>
    </xf>
    <xf numFmtId="0" fontId="13" fillId="0" borderId="32" xfId="0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166" fontId="38" fillId="0" borderId="3" xfId="0" applyNumberFormat="1" applyFont="1" applyBorder="1" applyAlignment="1">
      <alignment horizontal="center" vertical="top"/>
    </xf>
    <xf numFmtId="166" fontId="38" fillId="2" borderId="3" xfId="0" applyNumberFormat="1" applyFont="1" applyFill="1" applyBorder="1" applyAlignment="1">
      <alignment horizontal="center" vertical="top"/>
    </xf>
    <xf numFmtId="0" fontId="36" fillId="2" borderId="3" xfId="0" applyFont="1" applyFill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8" fillId="0" borderId="3" xfId="0" applyFont="1" applyBorder="1"/>
    <xf numFmtId="0" fontId="0" fillId="9" borderId="3" xfId="0" applyFill="1" applyBorder="1"/>
    <xf numFmtId="0" fontId="5" fillId="0" borderId="19" xfId="0" applyFont="1" applyBorder="1" applyAlignment="1" applyProtection="1">
      <alignment horizontal="center" vertical="center" wrapText="1"/>
      <protection locked="0"/>
    </xf>
    <xf numFmtId="0" fontId="5" fillId="4" borderId="19" xfId="0" applyFont="1" applyFill="1" applyBorder="1" applyAlignment="1">
      <alignment horizontal="center" vertical="center" wrapText="1"/>
    </xf>
    <xf numFmtId="15" fontId="39" fillId="9" borderId="35" xfId="0" applyNumberFormat="1" applyFont="1" applyFill="1" applyBorder="1" applyAlignment="1">
      <alignment horizontal="center" wrapText="1"/>
    </xf>
    <xf numFmtId="15" fontId="39" fillId="5" borderId="37" xfId="0" applyNumberFormat="1" applyFont="1" applyFill="1" applyBorder="1" applyAlignment="1">
      <alignment horizontal="center" wrapText="1"/>
    </xf>
    <xf numFmtId="0" fontId="36" fillId="5" borderId="38" xfId="0" applyFont="1" applyFill="1" applyBorder="1" applyAlignment="1">
      <alignment horizontal="center" wrapText="1"/>
    </xf>
    <xf numFmtId="0" fontId="36" fillId="9" borderId="38" xfId="0" applyFont="1" applyFill="1" applyBorder="1" applyAlignment="1">
      <alignment horizontal="center" wrapText="1"/>
    </xf>
    <xf numFmtId="0" fontId="5" fillId="9" borderId="38" xfId="0" applyFont="1" applyFill="1" applyBorder="1" applyAlignment="1">
      <alignment horizontal="center" wrapText="1"/>
    </xf>
    <xf numFmtId="0" fontId="5" fillId="5" borderId="38" xfId="0" applyFont="1" applyFill="1" applyBorder="1" applyAlignment="1">
      <alignment horizontal="center" wrapText="1"/>
    </xf>
    <xf numFmtId="15" fontId="39" fillId="9" borderId="37" xfId="0" applyNumberFormat="1" applyFont="1" applyFill="1" applyBorder="1" applyAlignment="1">
      <alignment horizontal="center" wrapText="1"/>
    </xf>
    <xf numFmtId="0" fontId="5" fillId="9" borderId="36" xfId="0" applyFont="1" applyFill="1" applyBorder="1" applyAlignment="1">
      <alignment horizontal="center" vertical="top" wrapText="1"/>
    </xf>
    <xf numFmtId="0" fontId="5" fillId="0" borderId="38" xfId="0" applyFont="1" applyBorder="1" applyAlignment="1">
      <alignment horizontal="center" vertical="top" wrapText="1"/>
    </xf>
    <xf numFmtId="0" fontId="5" fillId="9" borderId="38" xfId="0" applyFont="1" applyFill="1" applyBorder="1" applyAlignment="1">
      <alignment horizontal="center" vertical="top" wrapText="1"/>
    </xf>
    <xf numFmtId="0" fontId="37" fillId="2" borderId="3" xfId="0" applyFont="1" applyFill="1" applyBorder="1" applyAlignment="1" applyProtection="1">
      <alignment horizontal="center" vertical="center" wrapText="1"/>
      <protection locked="0"/>
    </xf>
    <xf numFmtId="49" fontId="40" fillId="0" borderId="3" xfId="0" applyNumberFormat="1" applyFont="1" applyBorder="1" applyAlignment="1">
      <alignment horizontal="center" vertical="top"/>
    </xf>
    <xf numFmtId="0" fontId="41" fillId="2" borderId="3" xfId="0" applyFont="1" applyFill="1" applyBorder="1" applyAlignment="1" applyProtection="1">
      <alignment horizontal="center" wrapText="1"/>
      <protection locked="0"/>
    </xf>
    <xf numFmtId="0" fontId="41" fillId="0" borderId="18" xfId="0" applyFont="1" applyBorder="1" applyAlignment="1" applyProtection="1">
      <alignment horizontal="center" wrapText="1"/>
      <protection locked="0"/>
    </xf>
    <xf numFmtId="0" fontId="41" fillId="0" borderId="3" xfId="0" applyFont="1" applyBorder="1" applyAlignment="1" applyProtection="1">
      <alignment horizontal="center" wrapText="1"/>
      <protection locked="0"/>
    </xf>
    <xf numFmtId="0" fontId="17" fillId="0" borderId="0" xfId="0" applyFont="1" applyAlignment="1">
      <alignment horizontal="center"/>
    </xf>
    <xf numFmtId="49" fontId="40" fillId="0" borderId="19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15" fontId="39" fillId="5" borderId="43" xfId="0" applyNumberFormat="1" applyFont="1" applyFill="1" applyBorder="1" applyAlignment="1">
      <alignment horizontal="center" wrapText="1"/>
    </xf>
    <xf numFmtId="15" fontId="39" fillId="9" borderId="43" xfId="0" applyNumberFormat="1" applyFont="1" applyFill="1" applyBorder="1" applyAlignment="1">
      <alignment horizontal="center" wrapText="1"/>
    </xf>
    <xf numFmtId="0" fontId="5" fillId="2" borderId="3" xfId="0" applyFont="1" applyFill="1" applyBorder="1" applyProtection="1">
      <protection locked="0"/>
    </xf>
    <xf numFmtId="0" fontId="36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Protection="1">
      <protection locked="0"/>
    </xf>
    <xf numFmtId="0" fontId="41" fillId="2" borderId="19" xfId="0" applyFont="1" applyFill="1" applyBorder="1" applyAlignment="1" applyProtection="1">
      <alignment horizontal="center" wrapText="1"/>
      <protection locked="0"/>
    </xf>
    <xf numFmtId="0" fontId="41" fillId="0" borderId="30" xfId="0" applyFont="1" applyBorder="1" applyAlignment="1" applyProtection="1">
      <alignment horizontal="center" wrapText="1"/>
      <protection locked="0"/>
    </xf>
    <xf numFmtId="0" fontId="41" fillId="0" borderId="19" xfId="0" applyFont="1" applyBorder="1" applyAlignment="1" applyProtection="1">
      <alignment horizontal="center" wrapText="1"/>
      <protection locked="0"/>
    </xf>
    <xf numFmtId="0" fontId="17" fillId="0" borderId="0" xfId="0" applyFont="1" applyAlignment="1">
      <alignment horizontal="center" wrapText="1"/>
    </xf>
    <xf numFmtId="49" fontId="40" fillId="2" borderId="3" xfId="0" applyNumberFormat="1" applyFont="1" applyFill="1" applyBorder="1" applyAlignment="1">
      <alignment horizontal="center" vertical="top"/>
    </xf>
    <xf numFmtId="49" fontId="40" fillId="2" borderId="19" xfId="0" applyNumberFormat="1" applyFont="1" applyFill="1" applyBorder="1" applyAlignment="1">
      <alignment horizontal="center" vertical="top" wrapText="1"/>
    </xf>
    <xf numFmtId="0" fontId="42" fillId="9" borderId="36" xfId="0" applyFont="1" applyFill="1" applyBorder="1" applyAlignment="1">
      <alignment horizontal="center" vertical="top" wrapText="1"/>
    </xf>
    <xf numFmtId="0" fontId="36" fillId="9" borderId="36" xfId="0" applyFont="1" applyFill="1" applyBorder="1" applyAlignment="1">
      <alignment wrapText="1"/>
    </xf>
    <xf numFmtId="0" fontId="42" fillId="0" borderId="38" xfId="0" applyFont="1" applyBorder="1" applyAlignment="1">
      <alignment horizontal="center" vertical="top" wrapText="1"/>
    </xf>
    <xf numFmtId="0" fontId="36" fillId="5" borderId="38" xfId="0" applyFont="1" applyFill="1" applyBorder="1" applyAlignment="1">
      <alignment wrapText="1"/>
    </xf>
    <xf numFmtId="0" fontId="42" fillId="9" borderId="38" xfId="0" applyFont="1" applyFill="1" applyBorder="1" applyAlignment="1">
      <alignment horizontal="center" vertical="top" wrapText="1"/>
    </xf>
    <xf numFmtId="0" fontId="36" fillId="9" borderId="38" xfId="0" applyFont="1" applyFill="1" applyBorder="1" applyAlignment="1">
      <alignment wrapText="1"/>
    </xf>
    <xf numFmtId="0" fontId="42" fillId="0" borderId="41" xfId="0" applyFont="1" applyBorder="1" applyAlignment="1">
      <alignment horizontal="center" vertical="top" wrapText="1"/>
    </xf>
    <xf numFmtId="49" fontId="40" fillId="0" borderId="3" xfId="0" applyNumberFormat="1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/>
    </xf>
    <xf numFmtId="49" fontId="40" fillId="0" borderId="13" xfId="0" applyNumberFormat="1" applyFont="1" applyBorder="1" applyAlignment="1">
      <alignment horizontal="center" vertical="top"/>
    </xf>
    <xf numFmtId="49" fontId="40" fillId="0" borderId="13" xfId="0" applyNumberFormat="1" applyFont="1" applyBorder="1" applyAlignment="1">
      <alignment horizontal="center" vertical="top" wrapText="1"/>
    </xf>
    <xf numFmtId="166" fontId="38" fillId="0" borderId="13" xfId="0" applyNumberFormat="1" applyFont="1" applyBorder="1" applyAlignment="1">
      <alignment horizontal="center" vertical="top"/>
    </xf>
    <xf numFmtId="49" fontId="40" fillId="9" borderId="3" xfId="0" applyNumberFormat="1" applyFont="1" applyFill="1" applyBorder="1" applyAlignment="1">
      <alignment horizontal="center" vertical="top"/>
    </xf>
    <xf numFmtId="49" fontId="40" fillId="9" borderId="3" xfId="0" applyNumberFormat="1" applyFont="1" applyFill="1" applyBorder="1" applyAlignment="1">
      <alignment horizontal="center" vertical="top" wrapText="1"/>
    </xf>
    <xf numFmtId="166" fontId="38" fillId="9" borderId="3" xfId="0" applyNumberFormat="1" applyFont="1" applyFill="1" applyBorder="1" applyAlignment="1">
      <alignment horizontal="center" vertical="top"/>
    </xf>
    <xf numFmtId="0" fontId="36" fillId="9" borderId="2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Alignment="1" applyProtection="1">
      <alignment horizontal="center" vertical="center"/>
      <protection locked="0"/>
    </xf>
    <xf numFmtId="0" fontId="36" fillId="2" borderId="19" xfId="0" applyFont="1" applyFill="1" applyBorder="1" applyAlignment="1" applyProtection="1">
      <alignment horizontal="center" wrapText="1"/>
      <protection locked="0"/>
    </xf>
    <xf numFmtId="164" fontId="37" fillId="2" borderId="3" xfId="0" applyNumberFormat="1" applyFont="1" applyFill="1" applyBorder="1" applyAlignment="1" applyProtection="1">
      <alignment vertical="center"/>
      <protection locked="0"/>
    </xf>
    <xf numFmtId="0" fontId="37" fillId="0" borderId="3" xfId="0" applyFont="1" applyBorder="1" applyAlignment="1" applyProtection="1">
      <alignment horizontal="center" vertical="center"/>
      <protection locked="0"/>
    </xf>
    <xf numFmtId="0" fontId="37" fillId="0" borderId="3" xfId="0" applyFont="1" applyBorder="1" applyAlignment="1" applyProtection="1">
      <alignment vertical="center"/>
      <protection locked="0"/>
    </xf>
    <xf numFmtId="0" fontId="37" fillId="0" borderId="19" xfId="0" applyFont="1" applyBorder="1" applyAlignment="1" applyProtection="1">
      <alignment vertical="center"/>
      <protection locked="0"/>
    </xf>
    <xf numFmtId="164" fontId="37" fillId="0" borderId="3" xfId="0" applyNumberFormat="1" applyFont="1" applyBorder="1" applyAlignment="1" applyProtection="1">
      <alignment horizontal="center" vertical="center" wrapText="1"/>
      <protection locked="0"/>
    </xf>
    <xf numFmtId="0" fontId="37" fillId="0" borderId="3" xfId="0" applyFont="1" applyBorder="1" applyAlignment="1" applyProtection="1">
      <alignment horizontal="center" vertical="center" wrapText="1"/>
      <protection locked="0"/>
    </xf>
    <xf numFmtId="164" fontId="37" fillId="4" borderId="13" xfId="0" applyNumberFormat="1" applyFont="1" applyFill="1" applyBorder="1" applyAlignment="1">
      <alignment horizontal="center" vertical="center"/>
    </xf>
    <xf numFmtId="0" fontId="37" fillId="4" borderId="13" xfId="0" applyFont="1" applyFill="1" applyBorder="1" applyAlignment="1">
      <alignment horizontal="center" vertical="center"/>
    </xf>
    <xf numFmtId="164" fontId="37" fillId="2" borderId="13" xfId="0" applyNumberFormat="1" applyFont="1" applyFill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5" fillId="0" borderId="3" xfId="0" applyFont="1" applyBorder="1" applyAlignment="1" applyProtection="1">
      <alignment horizontal="center" wrapText="1"/>
      <protection locked="0"/>
    </xf>
    <xf numFmtId="0" fontId="43" fillId="0" borderId="3" xfId="0" applyFont="1" applyBorder="1" applyAlignment="1" applyProtection="1">
      <alignment horizontal="center" wrapText="1"/>
      <protection locked="0"/>
    </xf>
    <xf numFmtId="164" fontId="37" fillId="2" borderId="3" xfId="0" applyNumberFormat="1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 vertical="center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6" fillId="2" borderId="13" xfId="0" applyFont="1" applyFill="1" applyBorder="1" applyAlignment="1" applyProtection="1">
      <alignment horizontal="center" vertical="center" wrapText="1"/>
      <protection locked="0"/>
    </xf>
    <xf numFmtId="0" fontId="36" fillId="2" borderId="21" xfId="0" applyFont="1" applyFill="1" applyBorder="1" applyAlignment="1" applyProtection="1">
      <alignment horizontal="center" vertical="center" wrapText="1"/>
      <protection locked="0"/>
    </xf>
    <xf numFmtId="0" fontId="36" fillId="2" borderId="18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36" fillId="9" borderId="39" xfId="0" applyFont="1" applyFill="1" applyBorder="1" applyAlignment="1">
      <alignment horizontal="center" vertical="center" wrapText="1"/>
    </xf>
    <xf numFmtId="0" fontId="36" fillId="9" borderId="40" xfId="0" applyFont="1" applyFill="1" applyBorder="1" applyAlignment="1">
      <alignment horizontal="center" vertical="center" wrapText="1"/>
    </xf>
    <xf numFmtId="0" fontId="5" fillId="9" borderId="39" xfId="0" applyFont="1" applyFill="1" applyBorder="1" applyAlignment="1">
      <alignment horizontal="center" vertical="center" wrapText="1"/>
    </xf>
    <xf numFmtId="0" fontId="5" fillId="9" borderId="40" xfId="0" applyFont="1" applyFill="1" applyBorder="1" applyAlignment="1">
      <alignment horizontal="center" vertical="center" wrapText="1"/>
    </xf>
    <xf numFmtId="0" fontId="36" fillId="2" borderId="42" xfId="0" applyFont="1" applyFill="1" applyBorder="1" applyAlignment="1" applyProtection="1">
      <alignment horizontal="center" vertical="center" wrapText="1"/>
      <protection locked="0"/>
    </xf>
    <xf numFmtId="0" fontId="5" fillId="2" borderId="42" xfId="0" applyFont="1" applyFill="1" applyBorder="1" applyAlignment="1" applyProtection="1">
      <alignment horizontal="center" vertical="center"/>
      <protection locked="0"/>
    </xf>
    <xf numFmtId="0" fontId="36" fillId="5" borderId="39" xfId="0" applyFont="1" applyFill="1" applyBorder="1" applyAlignment="1">
      <alignment horizontal="center" vertical="center" wrapText="1"/>
    </xf>
    <xf numFmtId="0" fontId="36" fillId="5" borderId="40" xfId="0" applyFont="1" applyFill="1" applyBorder="1" applyAlignment="1">
      <alignment horizontal="center" vertical="center" wrapText="1"/>
    </xf>
    <xf numFmtId="0" fontId="36" fillId="5" borderId="39" xfId="0" applyFont="1" applyFill="1" applyBorder="1" applyAlignment="1">
      <alignment horizontal="center" wrapText="1"/>
    </xf>
    <xf numFmtId="0" fontId="36" fillId="5" borderId="40" xfId="0" applyFont="1" applyFill="1" applyBorder="1" applyAlignment="1">
      <alignment horizontal="center" wrapText="1"/>
    </xf>
    <xf numFmtId="0" fontId="5" fillId="0" borderId="3" xfId="0" applyFont="1" applyBorder="1" applyAlignment="1" applyProtection="1">
      <alignment horizontal="center" vertical="center"/>
      <protection locked="0"/>
    </xf>
    <xf numFmtId="0" fontId="8" fillId="2" borderId="13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 applyProtection="1">
      <alignment horizontal="center" vertical="center" wrapText="1"/>
      <protection locked="0"/>
    </xf>
    <xf numFmtId="0" fontId="14" fillId="0" borderId="18" xfId="0" applyFont="1" applyBorder="1" applyAlignment="1" applyProtection="1">
      <alignment horizontal="center" vertical="center" wrapText="1"/>
      <protection locked="0"/>
    </xf>
    <xf numFmtId="0" fontId="37" fillId="0" borderId="19" xfId="0" applyFont="1" applyBorder="1" applyAlignment="1" applyProtection="1">
      <alignment horizontal="center" vertical="center"/>
      <protection locked="0"/>
    </xf>
    <xf numFmtId="0" fontId="37" fillId="0" borderId="20" xfId="0" applyFont="1" applyBorder="1" applyAlignment="1" applyProtection="1">
      <alignment horizontal="center" vertical="center"/>
      <protection locked="0"/>
    </xf>
    <xf numFmtId="0" fontId="37" fillId="0" borderId="2" xfId="0" applyFont="1" applyBorder="1" applyAlignment="1" applyProtection="1">
      <alignment horizontal="center" vertical="center"/>
      <protection locked="0"/>
    </xf>
    <xf numFmtId="0" fontId="35" fillId="0" borderId="13" xfId="0" applyFont="1" applyBorder="1" applyAlignment="1" applyProtection="1">
      <alignment horizontal="center" vertical="center" wrapText="1"/>
      <protection locked="0"/>
    </xf>
    <xf numFmtId="0" fontId="35" fillId="0" borderId="18" xfId="0" applyFont="1" applyBorder="1" applyAlignment="1" applyProtection="1">
      <alignment horizontal="center" vertical="center" wrapText="1"/>
      <protection locked="0"/>
    </xf>
    <xf numFmtId="0" fontId="35" fillId="0" borderId="13" xfId="0" applyFont="1" applyBorder="1" applyAlignment="1" applyProtection="1">
      <alignment horizontal="center" wrapText="1"/>
      <protection locked="0"/>
    </xf>
    <xf numFmtId="0" fontId="35" fillId="0" borderId="18" xfId="0" applyFont="1" applyBorder="1" applyAlignment="1" applyProtection="1">
      <alignment horizontal="center" wrapText="1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view="pageBreakPreview" topLeftCell="B10" zoomScale="65" zoomScaleNormal="112" zoomScaleSheetLayoutView="65" workbookViewId="0">
      <selection activeCell="J37" sqref="J37"/>
    </sheetView>
  </sheetViews>
  <sheetFormatPr defaultRowHeight="14.5" x14ac:dyDescent="0.35"/>
  <cols>
    <col min="1" max="1" width="24.7265625" customWidth="1"/>
    <col min="2" max="2" width="42.26953125" customWidth="1"/>
    <col min="3" max="3" width="34.81640625" style="47" bestFit="1" customWidth="1"/>
    <col min="4" max="4" width="76.81640625" customWidth="1"/>
  </cols>
  <sheetData>
    <row r="1" spans="1:4" ht="51" customHeight="1" x14ac:dyDescent="0.35">
      <c r="A1" s="364" t="s">
        <v>0</v>
      </c>
      <c r="B1" s="365"/>
      <c r="C1" s="365"/>
      <c r="D1" s="366"/>
    </row>
    <row r="2" spans="1:4" ht="23" x14ac:dyDescent="0.35">
      <c r="A2" s="367" t="s">
        <v>1</v>
      </c>
      <c r="B2" s="368"/>
      <c r="C2" s="140" t="s">
        <v>2</v>
      </c>
      <c r="D2" s="228" t="s">
        <v>205</v>
      </c>
    </row>
    <row r="3" spans="1:4" ht="20" x14ac:dyDescent="0.35">
      <c r="A3" s="4" t="s">
        <v>3</v>
      </c>
      <c r="B3" s="7" t="s">
        <v>119</v>
      </c>
      <c r="C3" s="8" t="s">
        <v>207</v>
      </c>
      <c r="D3" s="313" t="s">
        <v>206</v>
      </c>
    </row>
    <row r="4" spans="1:4" ht="33.75" customHeight="1" x14ac:dyDescent="0.35">
      <c r="A4" s="1" t="s">
        <v>4</v>
      </c>
      <c r="B4" s="1" t="s">
        <v>5</v>
      </c>
      <c r="C4" s="2" t="s">
        <v>6</v>
      </c>
      <c r="D4" s="229" t="s">
        <v>5</v>
      </c>
    </row>
    <row r="5" spans="1:4" ht="20.5" x14ac:dyDescent="0.35">
      <c r="A5" s="176">
        <v>1</v>
      </c>
      <c r="B5" s="3" t="s">
        <v>7</v>
      </c>
      <c r="C5" s="177">
        <f>'1. B2B- IPP'!M4</f>
        <v>0</v>
      </c>
      <c r="D5" s="230"/>
    </row>
    <row r="6" spans="1:4" ht="20.5" x14ac:dyDescent="0.35">
      <c r="A6" s="176">
        <v>2</v>
      </c>
      <c r="B6" s="3" t="s">
        <v>8</v>
      </c>
      <c r="C6" s="177">
        <f>'2. B2C'!L4</f>
        <v>24350</v>
      </c>
      <c r="D6" s="230" t="s">
        <v>130</v>
      </c>
    </row>
    <row r="7" spans="1:4" ht="20.5" x14ac:dyDescent="0.35">
      <c r="A7" s="176">
        <v>3</v>
      </c>
      <c r="B7" s="3" t="s">
        <v>9</v>
      </c>
      <c r="C7" s="177">
        <f>'3. B2B-Non Power'!L4</f>
        <v>0</v>
      </c>
      <c r="D7" s="230"/>
    </row>
    <row r="8" spans="1:4" ht="20.5" x14ac:dyDescent="0.35">
      <c r="A8" s="176">
        <v>4</v>
      </c>
      <c r="B8" s="3" t="s">
        <v>10</v>
      </c>
      <c r="C8" s="177">
        <f>'4. Goods Sending Expense'!L4</f>
        <v>1890</v>
      </c>
      <c r="D8" s="230" t="s">
        <v>150</v>
      </c>
    </row>
    <row r="9" spans="1:4" ht="20.5" x14ac:dyDescent="0.35">
      <c r="A9" s="176">
        <v>5</v>
      </c>
      <c r="B9" s="3" t="s">
        <v>11</v>
      </c>
      <c r="C9" s="177">
        <f>'5. Goods Receiving Expense'!L4</f>
        <v>990</v>
      </c>
      <c r="D9" s="230" t="s">
        <v>150</v>
      </c>
    </row>
    <row r="10" spans="1:4" ht="20.5" x14ac:dyDescent="0.35">
      <c r="A10" s="176">
        <v>6</v>
      </c>
      <c r="B10" s="3" t="s">
        <v>12</v>
      </c>
      <c r="C10" s="177">
        <f>'6.WH-Depot Maintenance'!D3</f>
        <v>1200</v>
      </c>
      <c r="D10" s="230" t="s">
        <v>149</v>
      </c>
    </row>
    <row r="11" spans="1:4" ht="20.5" x14ac:dyDescent="0.35">
      <c r="A11" s="176">
        <v>7</v>
      </c>
      <c r="B11" s="3" t="s">
        <v>13</v>
      </c>
      <c r="C11" s="177">
        <f>'7. Utilities'!F2</f>
        <v>0</v>
      </c>
      <c r="D11" s="230"/>
    </row>
    <row r="12" spans="1:4" ht="20.5" x14ac:dyDescent="0.35">
      <c r="A12" s="176">
        <v>8</v>
      </c>
      <c r="B12" s="3" t="s">
        <v>14</v>
      </c>
      <c r="C12" s="177">
        <f>'8. Printing'!E2</f>
        <v>0</v>
      </c>
      <c r="D12" s="230"/>
    </row>
    <row r="13" spans="1:4" ht="20.5" x14ac:dyDescent="0.35">
      <c r="A13" s="176">
        <v>9</v>
      </c>
      <c r="B13" s="3" t="s">
        <v>15</v>
      </c>
      <c r="C13" s="177">
        <f>'9. Stationary'!E2</f>
        <v>2040</v>
      </c>
      <c r="D13" s="230" t="s">
        <v>265</v>
      </c>
    </row>
    <row r="14" spans="1:4" ht="20.5" x14ac:dyDescent="0.35">
      <c r="A14" s="176">
        <v>10</v>
      </c>
      <c r="B14" s="3" t="s">
        <v>16</v>
      </c>
      <c r="C14" s="177">
        <f>'10-11.Delivery Van Expense'!D2</f>
        <v>0</v>
      </c>
      <c r="D14" s="230"/>
    </row>
    <row r="15" spans="1:4" ht="20.5" x14ac:dyDescent="0.35">
      <c r="A15" s="176">
        <v>11</v>
      </c>
      <c r="B15" s="3" t="s">
        <v>17</v>
      </c>
      <c r="C15" s="177">
        <f>'10-11.Delivery Van Expense'!D13</f>
        <v>0</v>
      </c>
      <c r="D15" s="230"/>
    </row>
    <row r="16" spans="1:4" ht="20.5" x14ac:dyDescent="0.35">
      <c r="A16" s="176">
        <v>12</v>
      </c>
      <c r="B16" s="3" t="s">
        <v>18</v>
      </c>
      <c r="C16" s="177">
        <f>'12. Entertainment'!D2</f>
        <v>0</v>
      </c>
      <c r="D16" s="230"/>
    </row>
    <row r="17" spans="1:7" ht="20.5" x14ac:dyDescent="0.35">
      <c r="A17" s="176">
        <v>13</v>
      </c>
      <c r="B17" s="3" t="s">
        <v>19</v>
      </c>
      <c r="C17" s="177">
        <f>'13. Food Allowance'!D2</f>
        <v>0</v>
      </c>
      <c r="D17" s="230"/>
    </row>
    <row r="18" spans="1:7" ht="20.5" x14ac:dyDescent="0.35">
      <c r="A18" s="176">
        <v>14</v>
      </c>
      <c r="B18" s="3" t="s">
        <v>20</v>
      </c>
      <c r="C18" s="177">
        <f>'14. Conveyance'!D2</f>
        <v>750</v>
      </c>
      <c r="D18" s="230" t="s">
        <v>21</v>
      </c>
    </row>
    <row r="19" spans="1:7" ht="20.5" x14ac:dyDescent="0.35">
      <c r="A19" s="176">
        <v>15</v>
      </c>
      <c r="B19" s="3" t="s">
        <v>22</v>
      </c>
      <c r="C19" s="177">
        <f>'15. For Security'!D2</f>
        <v>0</v>
      </c>
      <c r="D19" s="231"/>
      <c r="G19" t="s">
        <v>128</v>
      </c>
    </row>
    <row r="20" spans="1:7" ht="20.5" x14ac:dyDescent="0.35">
      <c r="A20" s="176"/>
      <c r="B20" s="4" t="s">
        <v>23</v>
      </c>
      <c r="C20" s="177">
        <f>SUM(C5:C19)</f>
        <v>31220</v>
      </c>
      <c r="D20" s="231"/>
    </row>
    <row r="21" spans="1:7" ht="20.5" x14ac:dyDescent="0.35">
      <c r="A21" s="232"/>
      <c r="B21" s="233"/>
      <c r="C21" s="175"/>
      <c r="D21" s="234"/>
    </row>
    <row r="22" spans="1:7" ht="20.5" x14ac:dyDescent="0.35">
      <c r="A22" s="232"/>
      <c r="B22" s="235"/>
      <c r="C22" s="1" t="s">
        <v>24</v>
      </c>
      <c r="D22" s="2" t="s">
        <v>25</v>
      </c>
    </row>
    <row r="23" spans="1:7" ht="20.5" x14ac:dyDescent="0.35">
      <c r="A23" s="232"/>
      <c r="B23" s="233"/>
      <c r="C23" s="176" t="s">
        <v>26</v>
      </c>
      <c r="D23" s="236">
        <f>'1. B2B- IPP'!D4</f>
        <v>0</v>
      </c>
    </row>
    <row r="24" spans="1:7" ht="20.5" x14ac:dyDescent="0.35">
      <c r="A24" s="232"/>
      <c r="B24" s="233"/>
      <c r="C24" s="176" t="s">
        <v>8</v>
      </c>
      <c r="D24" s="236">
        <f>'2. B2C'!D4</f>
        <v>4646</v>
      </c>
    </row>
    <row r="25" spans="1:7" ht="20.5" x14ac:dyDescent="0.35">
      <c r="A25" s="232"/>
      <c r="B25" s="233"/>
      <c r="C25" s="176" t="s">
        <v>27</v>
      </c>
      <c r="D25" s="236">
        <f>'3. B2B-Non Power'!D4</f>
        <v>0</v>
      </c>
    </row>
    <row r="26" spans="1:7" ht="20.5" x14ac:dyDescent="0.35">
      <c r="A26" s="232"/>
      <c r="B26" s="233"/>
      <c r="C26" s="176" t="s">
        <v>10</v>
      </c>
      <c r="D26" s="236">
        <f>'4. Goods Sending Expense'!D4</f>
        <v>170</v>
      </c>
    </row>
    <row r="27" spans="1:7" ht="20.5" x14ac:dyDescent="0.35">
      <c r="A27" s="232"/>
      <c r="B27" s="233"/>
      <c r="C27" s="176" t="s">
        <v>28</v>
      </c>
      <c r="D27" s="236">
        <f>'5. Goods Receiving Expense'!D4</f>
        <v>8160</v>
      </c>
    </row>
    <row r="28" spans="1:7" ht="20.5" x14ac:dyDescent="0.35">
      <c r="A28" s="232"/>
      <c r="B28" s="233"/>
      <c r="C28" s="1" t="s">
        <v>29</v>
      </c>
      <c r="D28" s="237">
        <f>SUM(D23:D27)</f>
        <v>12976</v>
      </c>
    </row>
    <row r="29" spans="1:7" ht="20.5" x14ac:dyDescent="0.35">
      <c r="A29" s="232"/>
      <c r="B29" s="233"/>
      <c r="C29" s="238"/>
      <c r="D29" s="239"/>
    </row>
    <row r="30" spans="1:7" ht="20.5" x14ac:dyDescent="0.35">
      <c r="A30" s="232"/>
      <c r="B30" s="233"/>
      <c r="C30" s="238"/>
      <c r="D30" s="239"/>
    </row>
    <row r="31" spans="1:7" ht="20.5" x14ac:dyDescent="0.35">
      <c r="A31" s="232"/>
      <c r="B31" s="233"/>
      <c r="C31" s="238"/>
      <c r="D31" s="239"/>
    </row>
    <row r="32" spans="1:7" ht="20.5" x14ac:dyDescent="0.35">
      <c r="A32" s="232"/>
      <c r="B32" s="233"/>
      <c r="C32" s="238"/>
      <c r="D32" s="239"/>
    </row>
    <row r="33" spans="1:6" ht="20.5" x14ac:dyDescent="0.35">
      <c r="A33" s="232"/>
      <c r="B33" s="233"/>
      <c r="C33" s="238"/>
      <c r="D33" s="239"/>
    </row>
    <row r="34" spans="1:6" ht="20.5" x14ac:dyDescent="0.35">
      <c r="A34" s="232"/>
      <c r="B34" s="233"/>
      <c r="C34" s="6"/>
      <c r="D34" s="240"/>
    </row>
    <row r="35" spans="1:6" ht="20.5" x14ac:dyDescent="0.35">
      <c r="A35" s="232"/>
      <c r="B35" s="233"/>
      <c r="C35" s="6"/>
      <c r="D35" s="240"/>
    </row>
    <row r="36" spans="1:6" ht="20.5" x14ac:dyDescent="0.35">
      <c r="A36" s="232"/>
      <c r="B36" s="233"/>
      <c r="C36" s="6"/>
      <c r="D36" s="240"/>
    </row>
    <row r="37" spans="1:6" ht="20.5" x14ac:dyDescent="0.35">
      <c r="A37" s="241" t="s">
        <v>30</v>
      </c>
      <c r="B37" s="5" t="s">
        <v>82</v>
      </c>
      <c r="C37" s="5" t="s">
        <v>31</v>
      </c>
      <c r="D37" s="242" t="s">
        <v>133</v>
      </c>
      <c r="F37" s="6" t="s">
        <v>128</v>
      </c>
    </row>
    <row r="38" spans="1:6" ht="20.5" x14ac:dyDescent="0.35">
      <c r="A38" s="243"/>
      <c r="B38" s="6"/>
      <c r="C38" s="6"/>
      <c r="D38" s="244"/>
    </row>
    <row r="39" spans="1:6" ht="20.5" x14ac:dyDescent="0.35">
      <c r="A39" s="243"/>
      <c r="B39" s="6"/>
      <c r="C39" s="6"/>
      <c r="D39" s="244"/>
    </row>
    <row r="40" spans="1:6" ht="20.5" x14ac:dyDescent="0.35">
      <c r="A40" s="232"/>
      <c r="B40" s="233"/>
      <c r="C40" s="6"/>
      <c r="D40" s="240"/>
    </row>
    <row r="41" spans="1:6" ht="20.5" x14ac:dyDescent="0.35">
      <c r="A41" s="232"/>
      <c r="B41" s="233"/>
      <c r="C41" s="6"/>
      <c r="D41" s="240"/>
    </row>
    <row r="42" spans="1:6" ht="20.5" x14ac:dyDescent="0.35">
      <c r="A42" s="232"/>
      <c r="B42" s="233"/>
      <c r="C42" s="6"/>
      <c r="D42" s="240"/>
    </row>
    <row r="43" spans="1:6" ht="20.5" x14ac:dyDescent="0.35">
      <c r="A43" s="245"/>
      <c r="B43" s="233"/>
      <c r="C43" s="6" t="s">
        <v>143</v>
      </c>
      <c r="D43" s="240"/>
    </row>
    <row r="44" spans="1:6" ht="20.5" x14ac:dyDescent="0.35">
      <c r="A44" s="245" t="s">
        <v>134</v>
      </c>
      <c r="B44" s="246"/>
      <c r="C44" s="246" t="s">
        <v>32</v>
      </c>
      <c r="D44" s="247" t="s">
        <v>33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4.5" x14ac:dyDescent="0.35"/>
  <cols>
    <col min="1" max="1" width="9" customWidth="1"/>
    <col min="2" max="2" width="11.54296875" customWidth="1"/>
    <col min="3" max="3" width="14" bestFit="1" customWidth="1"/>
    <col min="8" max="8" width="11.453125" bestFit="1" customWidth="1"/>
    <col min="9" max="9" width="11.81640625" customWidth="1"/>
    <col min="10" max="10" width="9.453125" bestFit="1" customWidth="1"/>
    <col min="11" max="11" width="5.453125" customWidth="1"/>
    <col min="12" max="12" width="6.453125" bestFit="1" customWidth="1"/>
  </cols>
  <sheetData>
    <row r="1" spans="1:13" ht="21.5" thickBot="1" x14ac:dyDescent="0.4">
      <c r="A1" s="9"/>
      <c r="B1" s="9"/>
      <c r="C1" s="369" t="s">
        <v>34</v>
      </c>
      <c r="D1" s="370"/>
      <c r="E1" s="371"/>
      <c r="F1" s="10"/>
      <c r="G1" s="11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9"/>
      <c r="G2" s="11"/>
      <c r="H2" s="372" t="s">
        <v>35</v>
      </c>
      <c r="I2" s="372"/>
      <c r="J2" s="372"/>
      <c r="K2" s="372"/>
      <c r="L2" s="372"/>
      <c r="M2" s="9"/>
    </row>
    <row r="3" spans="1:13" ht="52.5" thickBot="1" x14ac:dyDescent="0.4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" thickBot="1" x14ac:dyDescent="0.4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3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3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3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3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3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3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3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3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3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3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3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3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3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3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3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3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3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3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3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3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3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3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3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3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3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3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3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3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3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3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3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3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3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3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3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3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3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3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3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3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3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3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3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3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3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3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3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3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3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3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3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3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3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3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3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3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3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3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3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3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3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3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3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3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3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3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3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3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3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3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3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3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3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3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3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3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3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3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3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3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3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3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3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3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3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3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3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3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3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3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3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3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3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3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3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3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3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3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3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3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3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3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3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3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3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3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3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3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3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3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3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3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3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3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3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3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3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3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3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3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3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3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3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3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3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3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3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3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3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3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3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3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3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3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3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3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3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3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3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3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3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3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3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3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3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3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3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3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3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3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3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3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3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3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3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3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3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3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3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3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3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3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3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3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3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3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3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3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3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3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3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3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3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3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3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3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3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3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3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3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3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3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3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3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3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3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3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3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3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3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3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3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3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3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3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3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3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3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3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3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3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3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3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3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3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3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3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3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3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3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3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3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3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3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3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3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3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3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3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zoomScale="57" zoomScaleNormal="57" workbookViewId="0">
      <pane xSplit="12" ySplit="4" topLeftCell="M32" activePane="bottomRight" state="frozen"/>
      <selection pane="topRight" activeCell="M1" sqref="M1"/>
      <selection pane="bottomLeft" activeCell="A5" sqref="A5"/>
      <selection pane="bottomRight" activeCell="H40" sqref="H40"/>
    </sheetView>
  </sheetViews>
  <sheetFormatPr defaultRowHeight="21" x14ac:dyDescent="0.5"/>
  <cols>
    <col min="1" max="1" width="24.453125" style="248" customWidth="1"/>
    <col min="2" max="2" width="18.1796875" style="318" customWidth="1"/>
    <col min="3" max="3" width="31.453125" style="329" bestFit="1" customWidth="1"/>
    <col min="4" max="4" width="24" style="299" customWidth="1"/>
    <col min="5" max="5" width="19.453125" style="165" customWidth="1"/>
    <col min="6" max="6" width="17.54296875" style="165" customWidth="1"/>
    <col min="7" max="7" width="22.54296875" style="114" customWidth="1"/>
    <col min="8" max="8" width="25.453125" style="114" customWidth="1"/>
    <col min="9" max="9" width="13.453125" customWidth="1"/>
    <col min="10" max="10" width="13.26953125" customWidth="1"/>
    <col min="11" max="11" width="13.1796875" customWidth="1"/>
    <col min="12" max="12" width="14.81640625" style="248" customWidth="1"/>
  </cols>
  <sheetData>
    <row r="1" spans="1:14" s="124" customFormat="1" ht="20" x14ac:dyDescent="0.35">
      <c r="A1" s="389" t="s">
        <v>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</row>
    <row r="2" spans="1:14" s="124" customFormat="1" ht="20" x14ac:dyDescent="0.35">
      <c r="A2" s="270"/>
      <c r="B2" s="1"/>
      <c r="C2" s="301"/>
      <c r="D2" s="271"/>
      <c r="E2" s="287"/>
      <c r="F2" s="271"/>
      <c r="G2" s="389" t="s">
        <v>35</v>
      </c>
      <c r="H2" s="389"/>
      <c r="I2" s="389"/>
      <c r="J2" s="389"/>
      <c r="K2" s="389"/>
      <c r="L2" s="7"/>
    </row>
    <row r="3" spans="1:14" s="124" customFormat="1" ht="40" x14ac:dyDescent="0.35">
      <c r="A3" s="272" t="s">
        <v>36</v>
      </c>
      <c r="B3" s="229" t="s">
        <v>37</v>
      </c>
      <c r="C3" s="301" t="s">
        <v>38</v>
      </c>
      <c r="D3" s="229" t="s">
        <v>39</v>
      </c>
      <c r="E3" s="288" t="s">
        <v>48</v>
      </c>
      <c r="F3" s="229" t="s">
        <v>49</v>
      </c>
      <c r="G3" s="229" t="s">
        <v>116</v>
      </c>
      <c r="H3" s="229" t="s">
        <v>50</v>
      </c>
      <c r="I3" s="229" t="s">
        <v>45</v>
      </c>
      <c r="J3" s="229" t="s">
        <v>46</v>
      </c>
      <c r="K3" s="229" t="s">
        <v>47</v>
      </c>
      <c r="L3" s="8" t="s">
        <v>23</v>
      </c>
    </row>
    <row r="4" spans="1:14" s="124" customFormat="1" ht="20" x14ac:dyDescent="0.35">
      <c r="A4" s="273"/>
      <c r="B4" s="274"/>
      <c r="C4" s="302"/>
      <c r="D4" s="274">
        <f>SUM(D5:D88)</f>
        <v>4646</v>
      </c>
      <c r="E4" s="289">
        <f>SUM(E6:E100)</f>
        <v>150</v>
      </c>
      <c r="F4" s="274">
        <f>SUM(F5:F88)</f>
        <v>21190</v>
      </c>
      <c r="G4" s="274"/>
      <c r="H4" s="274">
        <f>SUM(H5:H88)</f>
        <v>2910</v>
      </c>
      <c r="I4" s="274">
        <f>SUM(I6:I10)</f>
        <v>0</v>
      </c>
      <c r="J4" s="274">
        <f>SUM(J6:J101)</f>
        <v>100</v>
      </c>
      <c r="K4" s="274">
        <f>SUM(K6:K10)</f>
        <v>0</v>
      </c>
      <c r="L4" s="275">
        <f>SUM(E4,F4,H4,I4,J4,)</f>
        <v>24350</v>
      </c>
    </row>
    <row r="5" spans="1:14" s="284" customFormat="1" ht="65" customHeight="1" x14ac:dyDescent="0.35">
      <c r="A5" s="276">
        <v>46054</v>
      </c>
      <c r="B5" s="314" t="s">
        <v>171</v>
      </c>
      <c r="C5" s="319" t="s">
        <v>166</v>
      </c>
      <c r="D5" s="295">
        <v>195</v>
      </c>
      <c r="E5" s="290"/>
      <c r="F5" s="393">
        <v>4300</v>
      </c>
      <c r="G5" s="390" t="s">
        <v>170</v>
      </c>
      <c r="H5" s="393"/>
      <c r="I5" s="280"/>
      <c r="J5" s="280"/>
      <c r="K5" s="280"/>
      <c r="L5" s="277">
        <f>SUM(F5:H5)</f>
        <v>4300</v>
      </c>
    </row>
    <row r="6" spans="1:14" s="285" customFormat="1" ht="51" customHeight="1" x14ac:dyDescent="0.5">
      <c r="A6" s="276">
        <v>46054</v>
      </c>
      <c r="B6" s="314">
        <v>99200</v>
      </c>
      <c r="C6" s="319" t="s">
        <v>168</v>
      </c>
      <c r="D6" s="295">
        <v>160</v>
      </c>
      <c r="E6" s="291"/>
      <c r="F6" s="394"/>
      <c r="G6" s="391"/>
      <c r="H6" s="394"/>
      <c r="I6" s="283"/>
      <c r="J6" s="283"/>
      <c r="K6" s="283"/>
      <c r="L6" s="277">
        <f t="shared" ref="L6:L8" si="0">SUM(F6:H6)</f>
        <v>0</v>
      </c>
      <c r="M6" s="286"/>
      <c r="N6" s="286"/>
    </row>
    <row r="7" spans="1:14" s="285" customFormat="1" ht="65" customHeight="1" x14ac:dyDescent="0.5">
      <c r="A7" s="276">
        <v>46054</v>
      </c>
      <c r="B7" s="314">
        <v>99201</v>
      </c>
      <c r="C7" s="319" t="s">
        <v>169</v>
      </c>
      <c r="D7" s="295">
        <v>73</v>
      </c>
      <c r="E7" s="291"/>
      <c r="F7" s="394"/>
      <c r="G7" s="391"/>
      <c r="H7" s="394"/>
      <c r="I7" s="7"/>
      <c r="J7" s="7"/>
      <c r="K7" s="7"/>
      <c r="L7" s="277">
        <f t="shared" si="0"/>
        <v>0</v>
      </c>
    </row>
    <row r="8" spans="1:14" s="285" customFormat="1" ht="77.5" customHeight="1" x14ac:dyDescent="0.5">
      <c r="A8" s="276">
        <v>46054</v>
      </c>
      <c r="B8" s="314">
        <v>99192</v>
      </c>
      <c r="C8" s="319" t="s">
        <v>167</v>
      </c>
      <c r="D8" s="295">
        <v>44</v>
      </c>
      <c r="E8" s="291"/>
      <c r="F8" s="395"/>
      <c r="G8" s="392"/>
      <c r="H8" s="395"/>
      <c r="I8" s="7"/>
      <c r="J8" s="7"/>
      <c r="K8" s="7"/>
      <c r="L8" s="277">
        <f t="shared" si="0"/>
        <v>0</v>
      </c>
    </row>
    <row r="9" spans="1:14" s="285" customFormat="1" ht="48.5" customHeight="1" x14ac:dyDescent="0.5">
      <c r="A9" s="276">
        <v>46055</v>
      </c>
      <c r="B9" s="330">
        <v>99179</v>
      </c>
      <c r="C9" s="331" t="s">
        <v>174</v>
      </c>
      <c r="D9" s="296">
        <v>157</v>
      </c>
      <c r="E9" s="291"/>
      <c r="F9" s="373">
        <v>1350</v>
      </c>
      <c r="G9" s="373" t="s">
        <v>170</v>
      </c>
      <c r="H9" s="376">
        <v>350</v>
      </c>
      <c r="I9" s="7"/>
      <c r="J9" s="376">
        <v>100</v>
      </c>
      <c r="K9" s="7"/>
      <c r="L9" s="277">
        <f>SUM(F9:H9)</f>
        <v>1700</v>
      </c>
    </row>
    <row r="10" spans="1:14" s="285" customFormat="1" ht="51" customHeight="1" x14ac:dyDescent="0.5">
      <c r="A10" s="276">
        <v>46055</v>
      </c>
      <c r="B10" s="330">
        <v>99191</v>
      </c>
      <c r="C10" s="331" t="s">
        <v>175</v>
      </c>
      <c r="D10" s="296">
        <v>39</v>
      </c>
      <c r="E10" s="291"/>
      <c r="F10" s="375"/>
      <c r="G10" s="375"/>
      <c r="H10" s="378"/>
      <c r="I10" s="7"/>
      <c r="J10" s="377"/>
      <c r="K10" s="7"/>
      <c r="L10" s="277">
        <f t="shared" ref="L10:L35" si="1">SUM(F10:H10)</f>
        <v>0</v>
      </c>
    </row>
    <row r="11" spans="1:14" s="285" customFormat="1" ht="53" customHeight="1" x14ac:dyDescent="0.5">
      <c r="A11" s="276">
        <v>46055</v>
      </c>
      <c r="B11" s="330">
        <v>99253</v>
      </c>
      <c r="C11" s="331" t="s">
        <v>176</v>
      </c>
      <c r="D11" s="296">
        <v>27</v>
      </c>
      <c r="E11" s="291"/>
      <c r="F11" s="373">
        <v>1050</v>
      </c>
      <c r="G11" s="373" t="s">
        <v>170</v>
      </c>
      <c r="H11" s="376">
        <v>400</v>
      </c>
      <c r="I11" s="7"/>
      <c r="J11" s="377"/>
      <c r="K11" s="7"/>
      <c r="L11" s="277">
        <f t="shared" si="1"/>
        <v>1450</v>
      </c>
    </row>
    <row r="12" spans="1:14" s="285" customFormat="1" ht="34.5" customHeight="1" x14ac:dyDescent="0.5">
      <c r="A12" s="276">
        <v>46055</v>
      </c>
      <c r="B12" s="330">
        <v>99277</v>
      </c>
      <c r="C12" s="331" t="s">
        <v>177</v>
      </c>
      <c r="D12" s="296">
        <v>208</v>
      </c>
      <c r="E12" s="291"/>
      <c r="F12" s="375"/>
      <c r="G12" s="375"/>
      <c r="H12" s="378"/>
      <c r="I12" s="7"/>
      <c r="J12" s="378"/>
      <c r="K12" s="7"/>
      <c r="L12" s="277">
        <f t="shared" si="1"/>
        <v>0</v>
      </c>
    </row>
    <row r="13" spans="1:14" s="282" customFormat="1" ht="32.25" customHeight="1" thickBot="1" x14ac:dyDescent="0.4">
      <c r="A13" s="276">
        <v>46055</v>
      </c>
      <c r="B13" s="330" t="s">
        <v>229</v>
      </c>
      <c r="C13" s="331" t="s">
        <v>178</v>
      </c>
      <c r="D13" s="295">
        <v>180</v>
      </c>
      <c r="E13" s="291"/>
      <c r="F13" s="277">
        <v>200</v>
      </c>
      <c r="G13" s="277" t="s">
        <v>127</v>
      </c>
      <c r="H13" s="7">
        <v>20</v>
      </c>
      <c r="I13" s="7"/>
      <c r="J13" s="7"/>
      <c r="K13" s="7"/>
      <c r="L13" s="277">
        <f t="shared" si="1"/>
        <v>220</v>
      </c>
    </row>
    <row r="14" spans="1:14" s="300" customFormat="1" ht="36" customHeight="1" thickBot="1" x14ac:dyDescent="0.55000000000000004">
      <c r="A14" s="303">
        <v>46056</v>
      </c>
      <c r="B14" s="332">
        <v>99343</v>
      </c>
      <c r="C14" s="332" t="s">
        <v>185</v>
      </c>
      <c r="D14" s="310">
        <v>420</v>
      </c>
      <c r="E14" s="333"/>
      <c r="F14" s="379">
        <v>1720</v>
      </c>
      <c r="G14" s="379" t="s">
        <v>170</v>
      </c>
      <c r="H14" s="381">
        <v>400</v>
      </c>
      <c r="I14" s="333"/>
      <c r="J14" s="333"/>
      <c r="K14" s="333"/>
      <c r="L14" s="277">
        <f t="shared" si="1"/>
        <v>2120</v>
      </c>
    </row>
    <row r="15" spans="1:14" s="282" customFormat="1" ht="48.75" customHeight="1" thickBot="1" x14ac:dyDescent="0.55000000000000004">
      <c r="A15" s="304">
        <v>46056</v>
      </c>
      <c r="B15" s="334">
        <v>99366</v>
      </c>
      <c r="C15" s="334" t="s">
        <v>187</v>
      </c>
      <c r="D15" s="311">
        <v>4</v>
      </c>
      <c r="E15" s="335"/>
      <c r="F15" s="380"/>
      <c r="G15" s="380"/>
      <c r="H15" s="382"/>
      <c r="I15" s="335"/>
      <c r="J15" s="335"/>
      <c r="K15" s="335"/>
      <c r="L15" s="277">
        <f t="shared" si="1"/>
        <v>0</v>
      </c>
    </row>
    <row r="16" spans="1:14" s="282" customFormat="1" ht="27.5" customHeight="1" thickBot="1" x14ac:dyDescent="0.55000000000000004">
      <c r="A16" s="304">
        <v>46056</v>
      </c>
      <c r="B16" s="334">
        <v>99363</v>
      </c>
      <c r="C16" s="334" t="s">
        <v>186</v>
      </c>
      <c r="D16" s="311">
        <v>236</v>
      </c>
      <c r="E16" s="335"/>
      <c r="F16" s="306">
        <v>970</v>
      </c>
      <c r="G16" s="306" t="s">
        <v>127</v>
      </c>
      <c r="H16" s="307">
        <v>200</v>
      </c>
      <c r="I16" s="335"/>
      <c r="J16" s="335"/>
      <c r="K16" s="335"/>
      <c r="L16" s="277">
        <f t="shared" si="1"/>
        <v>1170</v>
      </c>
    </row>
    <row r="17" spans="1:12" s="282" customFormat="1" ht="27.75" customHeight="1" thickBot="1" x14ac:dyDescent="0.55000000000000004">
      <c r="A17" s="304">
        <v>46056</v>
      </c>
      <c r="B17" s="334">
        <v>99367</v>
      </c>
      <c r="C17" s="334" t="s">
        <v>188</v>
      </c>
      <c r="D17" s="311">
        <v>388</v>
      </c>
      <c r="E17" s="335"/>
      <c r="F17" s="305">
        <v>380</v>
      </c>
      <c r="G17" s="305" t="s">
        <v>127</v>
      </c>
      <c r="H17" s="308">
        <v>30</v>
      </c>
      <c r="I17" s="335"/>
      <c r="J17" s="335"/>
      <c r="K17" s="335"/>
      <c r="L17" s="277">
        <f t="shared" si="1"/>
        <v>410</v>
      </c>
    </row>
    <row r="18" spans="1:12" s="282" customFormat="1" ht="26.25" customHeight="1" thickBot="1" x14ac:dyDescent="0.55000000000000004">
      <c r="A18" s="304">
        <v>46056</v>
      </c>
      <c r="B18" s="334">
        <v>99384</v>
      </c>
      <c r="C18" s="334" t="s">
        <v>189</v>
      </c>
      <c r="D18" s="311">
        <v>26</v>
      </c>
      <c r="E18" s="335"/>
      <c r="F18" s="305">
        <v>140</v>
      </c>
      <c r="G18" s="305" t="s">
        <v>184</v>
      </c>
      <c r="H18" s="308">
        <v>60</v>
      </c>
      <c r="I18" s="335"/>
      <c r="J18" s="335"/>
      <c r="K18" s="335"/>
      <c r="L18" s="277">
        <f t="shared" si="1"/>
        <v>200</v>
      </c>
    </row>
    <row r="19" spans="1:12" s="282" customFormat="1" ht="28.5" customHeight="1" thickBot="1" x14ac:dyDescent="0.55000000000000004">
      <c r="A19" s="304">
        <v>46056</v>
      </c>
      <c r="B19" s="334">
        <v>99390</v>
      </c>
      <c r="C19" s="334" t="s">
        <v>190</v>
      </c>
      <c r="D19" s="311">
        <v>4</v>
      </c>
      <c r="E19" s="335"/>
      <c r="F19" s="305">
        <v>100</v>
      </c>
      <c r="G19" s="305" t="s">
        <v>184</v>
      </c>
      <c r="H19" s="308">
        <v>100</v>
      </c>
      <c r="I19" s="335"/>
      <c r="J19" s="335"/>
      <c r="K19" s="335"/>
      <c r="L19" s="277">
        <f t="shared" si="1"/>
        <v>200</v>
      </c>
    </row>
    <row r="20" spans="1:12" s="300" customFormat="1" ht="33" customHeight="1" thickBot="1" x14ac:dyDescent="0.55000000000000004">
      <c r="A20" s="309">
        <v>46058</v>
      </c>
      <c r="B20" s="336">
        <v>99470</v>
      </c>
      <c r="C20" s="336" t="s">
        <v>191</v>
      </c>
      <c r="D20" s="312">
        <v>300</v>
      </c>
      <c r="E20" s="337"/>
      <c r="F20" s="385">
        <v>1200</v>
      </c>
      <c r="G20" s="385" t="s">
        <v>127</v>
      </c>
      <c r="H20" s="387"/>
      <c r="I20" s="337"/>
      <c r="J20" s="337"/>
      <c r="K20" s="337"/>
      <c r="L20" s="277">
        <f t="shared" si="1"/>
        <v>1200</v>
      </c>
    </row>
    <row r="21" spans="1:12" s="282" customFormat="1" ht="34" customHeight="1" thickBot="1" x14ac:dyDescent="0.55000000000000004">
      <c r="A21" s="304">
        <v>46058</v>
      </c>
      <c r="B21" s="334">
        <v>99477</v>
      </c>
      <c r="C21" s="334" t="s">
        <v>178</v>
      </c>
      <c r="D21" s="311">
        <v>216</v>
      </c>
      <c r="E21" s="335"/>
      <c r="F21" s="386"/>
      <c r="G21" s="386"/>
      <c r="H21" s="388"/>
      <c r="I21" s="335"/>
      <c r="J21" s="335"/>
      <c r="K21" s="335"/>
      <c r="L21" s="277">
        <f t="shared" si="1"/>
        <v>0</v>
      </c>
    </row>
    <row r="22" spans="1:12" s="282" customFormat="1" ht="51.75" customHeight="1" thickBot="1" x14ac:dyDescent="0.55000000000000004">
      <c r="A22" s="304">
        <v>46058</v>
      </c>
      <c r="B22" s="334">
        <v>99456</v>
      </c>
      <c r="C22" s="334" t="s">
        <v>192</v>
      </c>
      <c r="D22" s="311">
        <v>80</v>
      </c>
      <c r="E22" s="335"/>
      <c r="F22" s="305">
        <v>960</v>
      </c>
      <c r="G22" s="305" t="s">
        <v>127</v>
      </c>
      <c r="H22" s="308">
        <v>250</v>
      </c>
      <c r="I22" s="335"/>
      <c r="J22" s="335"/>
      <c r="K22" s="335"/>
      <c r="L22" s="277">
        <f t="shared" si="1"/>
        <v>1210</v>
      </c>
    </row>
    <row r="23" spans="1:12" s="282" customFormat="1" ht="53.25" customHeight="1" thickBot="1" x14ac:dyDescent="0.55000000000000004">
      <c r="A23" s="304">
        <v>46058</v>
      </c>
      <c r="B23" s="338">
        <v>99416</v>
      </c>
      <c r="C23" s="338" t="s">
        <v>178</v>
      </c>
      <c r="D23" s="311">
        <v>195</v>
      </c>
      <c r="E23" s="335"/>
      <c r="F23" s="305">
        <v>180</v>
      </c>
      <c r="G23" s="305" t="s">
        <v>127</v>
      </c>
      <c r="H23" s="308">
        <v>20</v>
      </c>
      <c r="I23" s="335"/>
      <c r="J23" s="335"/>
      <c r="K23" s="335"/>
      <c r="L23" s="277">
        <f t="shared" si="1"/>
        <v>200</v>
      </c>
    </row>
    <row r="24" spans="1:12" s="300" customFormat="1" ht="55.5" customHeight="1" thickBot="1" x14ac:dyDescent="0.55000000000000004">
      <c r="A24" s="309">
        <v>46060</v>
      </c>
      <c r="B24" s="345" t="s">
        <v>208</v>
      </c>
      <c r="C24" s="345" t="s">
        <v>202</v>
      </c>
      <c r="D24" s="346">
        <v>200</v>
      </c>
      <c r="E24" s="347"/>
      <c r="F24" s="383">
        <v>4400</v>
      </c>
      <c r="G24" s="383" t="s">
        <v>170</v>
      </c>
      <c r="H24" s="384"/>
      <c r="I24" s="325"/>
      <c r="J24" s="325"/>
      <c r="K24" s="325"/>
      <c r="L24" s="324">
        <f t="shared" si="1"/>
        <v>4400</v>
      </c>
    </row>
    <row r="25" spans="1:12" s="282" customFormat="1" ht="51.75" customHeight="1" thickBot="1" x14ac:dyDescent="0.55000000000000004">
      <c r="A25" s="304">
        <v>46060</v>
      </c>
      <c r="B25" s="339" t="s">
        <v>209</v>
      </c>
      <c r="C25" s="339" t="s">
        <v>185</v>
      </c>
      <c r="D25" s="295">
        <v>351</v>
      </c>
      <c r="E25" s="291"/>
      <c r="F25" s="374"/>
      <c r="G25" s="374"/>
      <c r="H25" s="377"/>
      <c r="I25" s="323"/>
      <c r="J25" s="323"/>
      <c r="K25" s="323"/>
      <c r="L25" s="277">
        <f t="shared" si="1"/>
        <v>0</v>
      </c>
    </row>
    <row r="26" spans="1:12" s="282" customFormat="1" ht="70.5" customHeight="1" thickBot="1" x14ac:dyDescent="0.55000000000000004">
      <c r="A26" s="304">
        <v>46060</v>
      </c>
      <c r="B26" s="339" t="s">
        <v>210</v>
      </c>
      <c r="C26" s="339" t="s">
        <v>203</v>
      </c>
      <c r="D26" s="295">
        <v>210</v>
      </c>
      <c r="E26" s="291"/>
      <c r="F26" s="374"/>
      <c r="G26" s="374"/>
      <c r="H26" s="377"/>
      <c r="I26" s="323"/>
      <c r="J26" s="323"/>
      <c r="K26" s="323"/>
      <c r="L26" s="277">
        <f t="shared" si="1"/>
        <v>0</v>
      </c>
    </row>
    <row r="27" spans="1:12" s="282" customFormat="1" ht="21.5" thickBot="1" x14ac:dyDescent="0.55000000000000004">
      <c r="A27" s="304">
        <v>46060</v>
      </c>
      <c r="B27" s="339">
        <v>99533</v>
      </c>
      <c r="C27" s="339" t="s">
        <v>203</v>
      </c>
      <c r="D27" s="295">
        <v>31</v>
      </c>
      <c r="E27" s="291"/>
      <c r="F27" s="375"/>
      <c r="G27" s="375"/>
      <c r="H27" s="378"/>
      <c r="I27" s="323"/>
      <c r="J27" s="323"/>
      <c r="K27" s="323"/>
      <c r="L27" s="277">
        <f t="shared" si="1"/>
        <v>0</v>
      </c>
    </row>
    <row r="28" spans="1:12" s="300" customFormat="1" ht="31" customHeight="1" thickBot="1" x14ac:dyDescent="0.55000000000000004">
      <c r="A28" s="309">
        <v>46061</v>
      </c>
      <c r="B28" s="344" t="s">
        <v>241</v>
      </c>
      <c r="C28" s="345" t="s">
        <v>178</v>
      </c>
      <c r="D28" s="346">
        <v>29</v>
      </c>
      <c r="E28" s="347"/>
      <c r="F28" s="324">
        <v>50</v>
      </c>
      <c r="G28" s="324" t="s">
        <v>216</v>
      </c>
      <c r="H28" s="348">
        <v>20</v>
      </c>
      <c r="I28" s="325"/>
      <c r="J28" s="325"/>
      <c r="K28" s="325"/>
      <c r="L28" s="324">
        <f t="shared" si="1"/>
        <v>70</v>
      </c>
    </row>
    <row r="29" spans="1:12" s="282" customFormat="1" ht="40.5" thickBot="1" x14ac:dyDescent="0.55000000000000004">
      <c r="A29" s="304">
        <v>46061</v>
      </c>
      <c r="B29" s="314" t="s">
        <v>214</v>
      </c>
      <c r="C29" s="339" t="s">
        <v>215</v>
      </c>
      <c r="D29" s="295">
        <v>195</v>
      </c>
      <c r="E29" s="291"/>
      <c r="F29" s="277">
        <v>1180</v>
      </c>
      <c r="G29" s="277" t="s">
        <v>163</v>
      </c>
      <c r="H29" s="7">
        <v>300</v>
      </c>
      <c r="I29" s="323"/>
      <c r="J29" s="323"/>
      <c r="K29" s="323"/>
      <c r="L29" s="277">
        <f t="shared" si="1"/>
        <v>1480</v>
      </c>
    </row>
    <row r="30" spans="1:12" s="300" customFormat="1" ht="21.5" thickBot="1" x14ac:dyDescent="0.55000000000000004">
      <c r="A30" s="309">
        <v>46062</v>
      </c>
      <c r="B30" s="344" t="s">
        <v>243</v>
      </c>
      <c r="C30" s="345" t="s">
        <v>211</v>
      </c>
      <c r="D30" s="346">
        <v>16</v>
      </c>
      <c r="E30" s="347"/>
      <c r="F30" s="373">
        <v>960</v>
      </c>
      <c r="G30" s="373" t="s">
        <v>163</v>
      </c>
      <c r="H30" s="376">
        <v>220</v>
      </c>
      <c r="I30" s="325"/>
      <c r="J30" s="325"/>
      <c r="K30" s="325"/>
      <c r="L30" s="324">
        <f>SUM(F30:H30)</f>
        <v>1180</v>
      </c>
    </row>
    <row r="31" spans="1:12" s="282" customFormat="1" ht="60.5" thickBot="1" x14ac:dyDescent="0.55000000000000004">
      <c r="A31" s="304">
        <v>46062</v>
      </c>
      <c r="B31" s="314" t="s">
        <v>244</v>
      </c>
      <c r="C31" s="339" t="s">
        <v>212</v>
      </c>
      <c r="D31" s="340">
        <v>26</v>
      </c>
      <c r="E31" s="291"/>
      <c r="F31" s="374"/>
      <c r="G31" s="374"/>
      <c r="H31" s="377"/>
      <c r="I31" s="323"/>
      <c r="J31" s="323"/>
      <c r="K31" s="323"/>
      <c r="L31" s="277">
        <f>SUM(F31:H31)</f>
        <v>0</v>
      </c>
    </row>
    <row r="32" spans="1:12" s="282" customFormat="1" ht="21.5" thickBot="1" x14ac:dyDescent="0.55000000000000004">
      <c r="A32" s="304">
        <v>46062</v>
      </c>
      <c r="B32" s="314">
        <v>99557</v>
      </c>
      <c r="C32" s="339" t="s">
        <v>213</v>
      </c>
      <c r="D32" s="295">
        <v>80</v>
      </c>
      <c r="E32" s="291"/>
      <c r="F32" s="375"/>
      <c r="G32" s="375"/>
      <c r="H32" s="378"/>
      <c r="I32" s="323"/>
      <c r="J32" s="323"/>
      <c r="K32" s="323"/>
      <c r="L32" s="277">
        <f>SUM(F32:H32)</f>
        <v>0</v>
      </c>
    </row>
    <row r="33" spans="1:12" s="282" customFormat="1" ht="21.5" thickBot="1" x14ac:dyDescent="0.55000000000000004">
      <c r="A33" s="304">
        <v>46062</v>
      </c>
      <c r="B33" s="314" t="s">
        <v>248</v>
      </c>
      <c r="C33" s="339" t="s">
        <v>218</v>
      </c>
      <c r="D33" s="295">
        <v>27</v>
      </c>
      <c r="E33" s="291"/>
      <c r="F33" s="373">
        <v>1000</v>
      </c>
      <c r="G33" s="373" t="s">
        <v>127</v>
      </c>
      <c r="H33" s="376">
        <v>200</v>
      </c>
      <c r="I33" s="323"/>
      <c r="J33" s="323"/>
      <c r="K33" s="323"/>
      <c r="L33" s="277">
        <f t="shared" si="1"/>
        <v>1200</v>
      </c>
    </row>
    <row r="34" spans="1:12" s="282" customFormat="1" ht="21.5" thickBot="1" x14ac:dyDescent="0.55000000000000004">
      <c r="A34" s="304">
        <v>46062</v>
      </c>
      <c r="B34" s="314" t="s">
        <v>249</v>
      </c>
      <c r="C34" s="339" t="s">
        <v>219</v>
      </c>
      <c r="D34" s="295">
        <v>24</v>
      </c>
      <c r="E34" s="291"/>
      <c r="F34" s="374"/>
      <c r="G34" s="374"/>
      <c r="H34" s="377"/>
      <c r="I34" s="323"/>
      <c r="J34" s="323"/>
      <c r="K34" s="323"/>
      <c r="L34" s="277">
        <f t="shared" si="1"/>
        <v>0</v>
      </c>
    </row>
    <row r="35" spans="1:12" s="282" customFormat="1" ht="40.5" thickBot="1" x14ac:dyDescent="0.55000000000000004">
      <c r="A35" s="304">
        <v>46062</v>
      </c>
      <c r="B35" s="314" t="s">
        <v>250</v>
      </c>
      <c r="C35" s="339" t="s">
        <v>177</v>
      </c>
      <c r="D35" s="295">
        <v>48</v>
      </c>
      <c r="E35" s="291"/>
      <c r="F35" s="375"/>
      <c r="G35" s="375"/>
      <c r="H35" s="378"/>
      <c r="I35" s="323"/>
      <c r="J35" s="323"/>
      <c r="K35" s="323"/>
      <c r="L35" s="277">
        <f t="shared" si="1"/>
        <v>0</v>
      </c>
    </row>
    <row r="36" spans="1:12" s="282" customFormat="1" ht="40.5" thickBot="1" x14ac:dyDescent="0.55000000000000004">
      <c r="A36" s="321">
        <v>46062</v>
      </c>
      <c r="B36" s="341" t="s">
        <v>246</v>
      </c>
      <c r="C36" s="342" t="s">
        <v>220</v>
      </c>
      <c r="D36" s="343">
        <v>92</v>
      </c>
      <c r="E36" s="291"/>
      <c r="F36" s="277">
        <v>120</v>
      </c>
      <c r="G36" s="277" t="s">
        <v>163</v>
      </c>
      <c r="H36" s="7">
        <v>40</v>
      </c>
      <c r="I36" s="323"/>
      <c r="J36" s="323"/>
      <c r="K36" s="323"/>
      <c r="L36" s="324">
        <f t="shared" ref="L36:L43" si="2">SUM(F36+H36)</f>
        <v>160</v>
      </c>
    </row>
    <row r="37" spans="1:12" s="300" customFormat="1" ht="21.5" thickBot="1" x14ac:dyDescent="0.55000000000000004">
      <c r="A37" s="322">
        <v>46063</v>
      </c>
      <c r="B37" s="344" t="s">
        <v>252</v>
      </c>
      <c r="C37" s="345" t="s">
        <v>191</v>
      </c>
      <c r="D37" s="346">
        <v>105</v>
      </c>
      <c r="E37" s="347"/>
      <c r="F37" s="324">
        <v>550</v>
      </c>
      <c r="G37" s="324" t="s">
        <v>127</v>
      </c>
      <c r="H37" s="348">
        <v>140</v>
      </c>
      <c r="I37" s="325"/>
      <c r="J37" s="325"/>
      <c r="K37" s="325"/>
      <c r="L37" s="324">
        <f t="shared" si="2"/>
        <v>690</v>
      </c>
    </row>
    <row r="38" spans="1:12" s="282" customFormat="1" ht="21.5" thickBot="1" x14ac:dyDescent="0.55000000000000004">
      <c r="A38" s="321">
        <v>46063</v>
      </c>
      <c r="B38" s="314">
        <v>99733</v>
      </c>
      <c r="C38" s="339" t="s">
        <v>221</v>
      </c>
      <c r="D38" s="295">
        <v>13</v>
      </c>
      <c r="E38" s="291"/>
      <c r="F38" s="277">
        <v>20</v>
      </c>
      <c r="G38" s="277" t="s">
        <v>127</v>
      </c>
      <c r="H38" s="7">
        <v>20</v>
      </c>
      <c r="I38" s="7"/>
      <c r="J38" s="7"/>
      <c r="K38" s="7"/>
      <c r="L38" s="324">
        <f t="shared" si="2"/>
        <v>40</v>
      </c>
    </row>
    <row r="39" spans="1:12" s="282" customFormat="1" ht="21.5" thickBot="1" x14ac:dyDescent="0.55000000000000004">
      <c r="A39" s="321">
        <v>46063</v>
      </c>
      <c r="B39" s="314" t="s">
        <v>268</v>
      </c>
      <c r="C39" s="339" t="s">
        <v>178</v>
      </c>
      <c r="D39" s="295">
        <v>234</v>
      </c>
      <c r="E39" s="291">
        <v>150</v>
      </c>
      <c r="F39" s="277">
        <v>230</v>
      </c>
      <c r="G39" s="277" t="s">
        <v>184</v>
      </c>
      <c r="H39" s="7">
        <v>20</v>
      </c>
      <c r="I39" s="7"/>
      <c r="J39" s="7"/>
      <c r="K39" s="7"/>
      <c r="L39" s="324">
        <f t="shared" si="2"/>
        <v>250</v>
      </c>
    </row>
    <row r="40" spans="1:12" s="282" customFormat="1" ht="43.5" customHeight="1" x14ac:dyDescent="0.5">
      <c r="A40" s="321">
        <v>46063</v>
      </c>
      <c r="B40" s="297" t="s">
        <v>224</v>
      </c>
      <c r="C40" s="349" t="s">
        <v>225</v>
      </c>
      <c r="D40" s="297">
        <v>13</v>
      </c>
      <c r="E40" s="291"/>
      <c r="F40" s="277">
        <v>130</v>
      </c>
      <c r="G40" s="277" t="s">
        <v>163</v>
      </c>
      <c r="H40" s="7">
        <v>120</v>
      </c>
      <c r="I40" s="7"/>
      <c r="J40" s="7"/>
      <c r="K40" s="7"/>
      <c r="L40" s="324">
        <f t="shared" si="2"/>
        <v>250</v>
      </c>
    </row>
    <row r="41" spans="1:12" s="282" customFormat="1" ht="20" x14ac:dyDescent="0.4">
      <c r="A41" s="257"/>
      <c r="B41" s="315"/>
      <c r="C41" s="326"/>
      <c r="D41" s="297"/>
      <c r="E41" s="292"/>
      <c r="F41" s="264"/>
      <c r="G41" s="264"/>
      <c r="H41" s="265"/>
      <c r="I41" s="266"/>
      <c r="J41" s="265"/>
      <c r="K41" s="265"/>
      <c r="L41" s="258">
        <f t="shared" si="2"/>
        <v>0</v>
      </c>
    </row>
    <row r="42" spans="1:12" ht="20" x14ac:dyDescent="0.4">
      <c r="A42" s="260"/>
      <c r="B42" s="316"/>
      <c r="C42" s="327"/>
      <c r="D42" s="298"/>
      <c r="E42" s="293"/>
      <c r="F42" s="261"/>
      <c r="G42" s="261"/>
      <c r="H42" s="262"/>
      <c r="I42" s="263"/>
      <c r="J42" s="262"/>
      <c r="K42" s="262"/>
      <c r="L42" s="258">
        <f t="shared" si="2"/>
        <v>0</v>
      </c>
    </row>
    <row r="43" spans="1:12" ht="20" x14ac:dyDescent="0.4">
      <c r="A43" s="257"/>
      <c r="B43" s="317"/>
      <c r="C43" s="328"/>
      <c r="D43" s="298"/>
      <c r="E43" s="294"/>
      <c r="F43" s="183"/>
      <c r="G43" s="183"/>
      <c r="H43" s="36"/>
      <c r="I43" s="37"/>
      <c r="J43" s="36"/>
      <c r="K43" s="36"/>
      <c r="L43" s="258">
        <f t="shared" si="2"/>
        <v>0</v>
      </c>
    </row>
    <row r="44" spans="1:12" ht="20" x14ac:dyDescent="0.4">
      <c r="A44" s="257"/>
      <c r="B44" s="317"/>
      <c r="C44" s="328"/>
      <c r="D44" s="298"/>
      <c r="E44" s="294"/>
      <c r="F44" s="183"/>
      <c r="G44" s="183"/>
      <c r="H44" s="36"/>
      <c r="I44" s="37"/>
      <c r="J44" s="36"/>
      <c r="K44" s="36"/>
      <c r="L44" s="198"/>
    </row>
    <row r="45" spans="1:12" ht="20" x14ac:dyDescent="0.4">
      <c r="A45" s="257"/>
      <c r="B45" s="317"/>
      <c r="C45" s="328"/>
      <c r="D45" s="298"/>
      <c r="E45" s="294"/>
      <c r="F45" s="183"/>
      <c r="G45" s="183"/>
      <c r="H45" s="36"/>
      <c r="I45" s="37"/>
      <c r="J45" s="36"/>
      <c r="K45" s="36"/>
      <c r="L45" s="198"/>
    </row>
    <row r="46" spans="1:12" ht="20" x14ac:dyDescent="0.4">
      <c r="A46" s="257"/>
      <c r="B46" s="317"/>
      <c r="C46" s="328"/>
      <c r="D46" s="298"/>
      <c r="E46" s="294"/>
      <c r="F46" s="183"/>
      <c r="G46" s="183"/>
      <c r="H46" s="36"/>
      <c r="I46" s="37"/>
      <c r="J46" s="36"/>
      <c r="K46" s="36"/>
      <c r="L46" s="198"/>
    </row>
    <row r="47" spans="1:12" ht="20" x14ac:dyDescent="0.4">
      <c r="A47" s="257"/>
      <c r="B47" s="317"/>
      <c r="C47" s="328"/>
      <c r="D47" s="298"/>
      <c r="E47" s="294"/>
      <c r="F47" s="183"/>
      <c r="G47" s="183"/>
      <c r="H47" s="36"/>
      <c r="I47" s="37"/>
      <c r="J47" s="37"/>
      <c r="K47" s="37"/>
      <c r="L47" s="198"/>
    </row>
    <row r="48" spans="1:12" ht="20" x14ac:dyDescent="0.4">
      <c r="A48" s="257"/>
      <c r="B48" s="317"/>
      <c r="C48" s="328"/>
      <c r="D48" s="298"/>
      <c r="E48" s="294"/>
      <c r="F48" s="183"/>
      <c r="G48" s="183"/>
      <c r="H48" s="36"/>
      <c r="I48" s="37"/>
      <c r="J48" s="37"/>
      <c r="K48" s="37"/>
      <c r="L48" s="198"/>
    </row>
    <row r="49" spans="1:12" ht="20" x14ac:dyDescent="0.4">
      <c r="A49" s="257"/>
      <c r="B49" s="317"/>
      <c r="C49" s="328"/>
      <c r="D49" s="298"/>
      <c r="E49" s="294"/>
      <c r="F49" s="183"/>
      <c r="G49" s="183"/>
      <c r="H49" s="36"/>
      <c r="I49" s="37"/>
      <c r="J49" s="37"/>
      <c r="K49" s="37"/>
      <c r="L49" s="198"/>
    </row>
    <row r="50" spans="1:12" ht="20" x14ac:dyDescent="0.4">
      <c r="A50" s="257"/>
      <c r="B50" s="317"/>
      <c r="C50" s="328"/>
      <c r="D50" s="298"/>
      <c r="E50" s="294"/>
      <c r="F50" s="183"/>
      <c r="G50" s="183"/>
      <c r="H50" s="36"/>
      <c r="I50" s="37"/>
      <c r="J50" s="37"/>
      <c r="K50" s="37"/>
      <c r="L50" s="198"/>
    </row>
    <row r="51" spans="1:12" ht="20" x14ac:dyDescent="0.4">
      <c r="A51" s="257"/>
      <c r="B51" s="317"/>
      <c r="C51" s="328"/>
      <c r="D51" s="298"/>
      <c r="E51" s="294"/>
      <c r="F51" s="183"/>
      <c r="G51" s="183"/>
      <c r="H51" s="36"/>
      <c r="I51" s="37"/>
      <c r="J51" s="37"/>
      <c r="K51" s="37"/>
      <c r="L51" s="198"/>
    </row>
    <row r="52" spans="1:12" ht="20" x14ac:dyDescent="0.4">
      <c r="A52" s="257"/>
      <c r="B52" s="317"/>
      <c r="C52" s="328"/>
      <c r="D52" s="298"/>
      <c r="E52" s="294"/>
      <c r="F52" s="183"/>
      <c r="G52" s="183"/>
      <c r="H52" s="36"/>
      <c r="I52" s="37"/>
      <c r="J52" s="37"/>
      <c r="K52" s="37"/>
      <c r="L52" s="198"/>
    </row>
    <row r="53" spans="1:12" ht="20" x14ac:dyDescent="0.4">
      <c r="A53" s="257"/>
      <c r="B53" s="317"/>
      <c r="C53" s="328"/>
      <c r="D53" s="298"/>
      <c r="E53" s="294"/>
      <c r="F53" s="183"/>
      <c r="G53" s="183"/>
      <c r="H53" s="36"/>
      <c r="I53" s="37"/>
      <c r="J53" s="37"/>
      <c r="K53" s="37"/>
      <c r="L53" s="198"/>
    </row>
    <row r="54" spans="1:12" ht="20" x14ac:dyDescent="0.4">
      <c r="A54" s="257"/>
      <c r="B54" s="317"/>
      <c r="C54" s="328"/>
      <c r="D54" s="298"/>
      <c r="E54" s="294"/>
      <c r="F54" s="183"/>
      <c r="G54" s="183"/>
      <c r="H54" s="36"/>
      <c r="I54" s="37"/>
      <c r="J54" s="37"/>
      <c r="K54" s="37"/>
      <c r="L54" s="198"/>
    </row>
    <row r="55" spans="1:12" ht="20" x14ac:dyDescent="0.4">
      <c r="A55" s="257"/>
      <c r="B55" s="317"/>
      <c r="C55" s="328"/>
      <c r="D55" s="298"/>
      <c r="E55" s="294"/>
      <c r="F55" s="183"/>
      <c r="G55" s="183"/>
      <c r="H55" s="36"/>
      <c r="I55" s="37"/>
      <c r="J55" s="37"/>
      <c r="K55" s="37"/>
      <c r="L55" s="198"/>
    </row>
    <row r="56" spans="1:12" ht="20" x14ac:dyDescent="0.4">
      <c r="A56" s="257"/>
      <c r="B56" s="317"/>
      <c r="C56" s="328"/>
      <c r="D56" s="298"/>
      <c r="E56" s="294"/>
      <c r="F56" s="183"/>
      <c r="G56" s="183"/>
      <c r="H56" s="36"/>
      <c r="I56" s="37"/>
      <c r="J56" s="37"/>
      <c r="K56" s="37"/>
      <c r="L56" s="198"/>
    </row>
    <row r="57" spans="1:12" ht="20" x14ac:dyDescent="0.4">
      <c r="A57" s="257"/>
      <c r="B57" s="317"/>
      <c r="C57" s="328"/>
      <c r="D57" s="298"/>
      <c r="E57" s="294"/>
      <c r="F57" s="183"/>
      <c r="G57" s="183"/>
      <c r="H57" s="36"/>
      <c r="I57" s="37"/>
      <c r="J57" s="37"/>
      <c r="K57" s="37"/>
      <c r="L57" s="198"/>
    </row>
    <row r="58" spans="1:12" ht="20" x14ac:dyDescent="0.4">
      <c r="A58" s="257"/>
      <c r="B58" s="317"/>
      <c r="C58" s="328"/>
      <c r="D58" s="298"/>
      <c r="E58" s="294"/>
      <c r="F58" s="183"/>
      <c r="G58" s="183"/>
      <c r="H58" s="36"/>
      <c r="I58" s="37"/>
      <c r="J58" s="37"/>
      <c r="K58" s="37"/>
      <c r="L58" s="198"/>
    </row>
    <row r="59" spans="1:12" ht="20" x14ac:dyDescent="0.4">
      <c r="A59" s="257"/>
      <c r="B59" s="317"/>
      <c r="C59" s="328"/>
      <c r="D59" s="298"/>
      <c r="E59" s="294"/>
      <c r="F59" s="183"/>
      <c r="G59" s="183"/>
      <c r="H59" s="36"/>
      <c r="I59" s="37"/>
      <c r="J59" s="37"/>
      <c r="K59" s="37"/>
      <c r="L59" s="198"/>
    </row>
    <row r="60" spans="1:12" ht="20" x14ac:dyDescent="0.4">
      <c r="A60" s="257"/>
      <c r="B60" s="317"/>
      <c r="C60" s="328"/>
      <c r="D60" s="298"/>
      <c r="E60" s="294"/>
      <c r="F60" s="183"/>
      <c r="G60" s="183"/>
      <c r="H60" s="36"/>
      <c r="I60" s="37"/>
      <c r="J60" s="37"/>
      <c r="K60" s="37"/>
      <c r="L60" s="198"/>
    </row>
    <row r="61" spans="1:12" ht="20" x14ac:dyDescent="0.4">
      <c r="A61" s="257"/>
      <c r="B61" s="317"/>
      <c r="C61" s="328"/>
      <c r="D61" s="298"/>
      <c r="E61" s="294"/>
      <c r="F61" s="183"/>
      <c r="G61" s="183"/>
      <c r="H61" s="36"/>
      <c r="I61" s="37"/>
      <c r="J61" s="37"/>
      <c r="K61" s="37"/>
      <c r="L61" s="198"/>
    </row>
    <row r="62" spans="1:12" ht="20" x14ac:dyDescent="0.4">
      <c r="A62" s="257"/>
      <c r="B62" s="317"/>
      <c r="C62" s="328"/>
      <c r="D62" s="298"/>
      <c r="E62" s="294"/>
      <c r="F62" s="183"/>
      <c r="G62" s="183"/>
      <c r="H62" s="36"/>
      <c r="I62" s="37"/>
      <c r="J62" s="37"/>
      <c r="K62" s="37"/>
      <c r="L62" s="198"/>
    </row>
    <row r="63" spans="1:12" ht="20" x14ac:dyDescent="0.4">
      <c r="A63" s="257"/>
      <c r="B63" s="317"/>
      <c r="C63" s="328"/>
      <c r="D63" s="298"/>
      <c r="E63" s="294"/>
      <c r="F63" s="183"/>
      <c r="G63" s="183"/>
      <c r="H63" s="36"/>
      <c r="I63" s="37"/>
      <c r="J63" s="37"/>
      <c r="K63" s="37"/>
      <c r="L63" s="198"/>
    </row>
    <row r="64" spans="1:12" ht="20" x14ac:dyDescent="0.4">
      <c r="A64" s="257"/>
      <c r="B64" s="317"/>
      <c r="C64" s="328"/>
      <c r="D64" s="298"/>
      <c r="E64" s="294"/>
      <c r="F64" s="183"/>
      <c r="G64" s="183"/>
      <c r="H64" s="36"/>
      <c r="I64" s="37"/>
      <c r="J64" s="37"/>
      <c r="K64" s="37"/>
      <c r="L64" s="198"/>
    </row>
    <row r="65" spans="1:12" ht="20" x14ac:dyDescent="0.4">
      <c r="A65" s="257"/>
      <c r="B65" s="317"/>
      <c r="C65" s="328"/>
      <c r="D65" s="298"/>
      <c r="E65" s="294"/>
      <c r="F65" s="183"/>
      <c r="G65" s="183"/>
      <c r="H65" s="36"/>
      <c r="I65" s="37"/>
      <c r="J65" s="37"/>
      <c r="K65" s="37"/>
      <c r="L65" s="198"/>
    </row>
    <row r="66" spans="1:12" ht="20" x14ac:dyDescent="0.4">
      <c r="A66" s="257"/>
      <c r="B66" s="317"/>
      <c r="C66" s="328"/>
      <c r="D66" s="298"/>
      <c r="E66" s="294"/>
      <c r="F66" s="183"/>
      <c r="G66" s="183"/>
      <c r="H66" s="36"/>
      <c r="I66" s="37"/>
      <c r="J66" s="37"/>
      <c r="K66" s="37"/>
      <c r="L66" s="198"/>
    </row>
  </sheetData>
  <autoFilter ref="A3:L4" xr:uid="{00000000-0009-0000-0000-000002000000}"/>
  <mergeCells count="27">
    <mergeCell ref="J9:J12"/>
    <mergeCell ref="G9:G10"/>
    <mergeCell ref="F9:F10"/>
    <mergeCell ref="H9:H10"/>
    <mergeCell ref="F11:F12"/>
    <mergeCell ref="G11:G12"/>
    <mergeCell ref="H11:H12"/>
    <mergeCell ref="A1:L1"/>
    <mergeCell ref="G2:K2"/>
    <mergeCell ref="G5:G8"/>
    <mergeCell ref="F5:F8"/>
    <mergeCell ref="H5:H8"/>
    <mergeCell ref="G14:G15"/>
    <mergeCell ref="F14:F15"/>
    <mergeCell ref="H14:H15"/>
    <mergeCell ref="G24:G27"/>
    <mergeCell ref="H24:H27"/>
    <mergeCell ref="F24:F27"/>
    <mergeCell ref="G20:G21"/>
    <mergeCell ref="F20:F21"/>
    <mergeCell ref="H20:H21"/>
    <mergeCell ref="G33:G35"/>
    <mergeCell ref="F33:F35"/>
    <mergeCell ref="H33:H35"/>
    <mergeCell ref="G30:G32"/>
    <mergeCell ref="F30:F32"/>
    <mergeCell ref="H30:H32"/>
  </mergeCells>
  <dataValidations count="1">
    <dataValidation type="whole" allowBlank="1" showInputMessage="1" showErrorMessage="1" sqref="F24 E6:E13 F13 D27 E24:E27 D28:E55 F28:F33 F36:F55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3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4.5" x14ac:dyDescent="0.35"/>
  <cols>
    <col min="1" max="1" width="10.54296875" bestFit="1" customWidth="1"/>
    <col min="3" max="3" width="19.7265625" customWidth="1"/>
  </cols>
  <sheetData>
    <row r="1" spans="1:12" x14ac:dyDescent="0.35">
      <c r="A1" s="396" t="s">
        <v>51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</row>
    <row r="2" spans="1:12" x14ac:dyDescent="0.35">
      <c r="A2" s="25"/>
      <c r="B2" s="26"/>
      <c r="C2" s="26"/>
      <c r="D2" s="26"/>
      <c r="E2" s="27"/>
      <c r="F2" s="27"/>
      <c r="G2" s="397" t="s">
        <v>35</v>
      </c>
      <c r="H2" s="398"/>
      <c r="I2" s="398"/>
      <c r="J2" s="398"/>
      <c r="K2" s="399"/>
      <c r="L2" s="24"/>
    </row>
    <row r="3" spans="1:12" ht="21" x14ac:dyDescent="0.3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3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5" x14ac:dyDescent="0.3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5" x14ac:dyDescent="0.3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5" x14ac:dyDescent="0.3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5" x14ac:dyDescent="0.3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5" x14ac:dyDescent="0.3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5" x14ac:dyDescent="0.3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5" x14ac:dyDescent="0.3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5" x14ac:dyDescent="0.3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5" x14ac:dyDescent="0.3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5" x14ac:dyDescent="0.3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5" x14ac:dyDescent="0.3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5" x14ac:dyDescent="0.3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5" x14ac:dyDescent="0.3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5" x14ac:dyDescent="0.3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5" x14ac:dyDescent="0.3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5" x14ac:dyDescent="0.3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5" x14ac:dyDescent="0.3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5" x14ac:dyDescent="0.3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6"/>
  <sheetViews>
    <sheetView topLeftCell="A25" zoomScale="89" zoomScaleNormal="89" workbookViewId="0">
      <selection activeCell="K21" sqref="K21"/>
    </sheetView>
  </sheetViews>
  <sheetFormatPr defaultRowHeight="14.5" x14ac:dyDescent="0.35"/>
  <cols>
    <col min="2" max="2" width="15.7265625" style="143" customWidth="1"/>
    <col min="3" max="3" width="21.26953125" customWidth="1"/>
    <col min="4" max="4" width="35.1796875" customWidth="1"/>
    <col min="5" max="5" width="19.453125" customWidth="1"/>
    <col min="6" max="6" width="15.7265625" customWidth="1"/>
    <col min="7" max="7" width="23.453125" bestFit="1" customWidth="1"/>
    <col min="10" max="10" width="9.7265625" style="143" bestFit="1" customWidth="1"/>
    <col min="11" max="11" width="20.26953125" customWidth="1"/>
    <col min="12" max="12" width="27.26953125" bestFit="1" customWidth="1"/>
    <col min="13" max="13" width="16.7265625" customWidth="1"/>
    <col min="14" max="14" width="14.81640625" customWidth="1"/>
    <col min="15" max="15" width="23.453125" bestFit="1" customWidth="1"/>
  </cols>
  <sheetData>
    <row r="1" spans="1:15" ht="21" x14ac:dyDescent="0.35">
      <c r="A1" s="400" t="s">
        <v>0</v>
      </c>
      <c r="B1" s="400"/>
      <c r="C1" s="400"/>
      <c r="D1" s="400"/>
      <c r="E1" s="400"/>
      <c r="F1" s="400"/>
      <c r="G1" s="400"/>
      <c r="I1" s="400" t="s">
        <v>0</v>
      </c>
      <c r="J1" s="400"/>
      <c r="K1" s="400"/>
      <c r="L1" s="400"/>
      <c r="M1" s="400"/>
      <c r="N1" s="400"/>
      <c r="O1" s="400"/>
    </row>
    <row r="2" spans="1:15" x14ac:dyDescent="0.35">
      <c r="A2" s="401"/>
      <c r="B2" s="401"/>
      <c r="C2" s="401"/>
      <c r="D2" s="401"/>
      <c r="E2" s="401"/>
      <c r="F2" s="401"/>
      <c r="G2" s="401"/>
      <c r="I2" s="401"/>
      <c r="J2" s="401"/>
      <c r="K2" s="401"/>
      <c r="L2" s="401"/>
      <c r="M2" s="401"/>
      <c r="N2" s="401"/>
      <c r="O2" s="401"/>
    </row>
    <row r="3" spans="1:15" ht="18.5" x14ac:dyDescent="0.45">
      <c r="A3" s="402" t="s">
        <v>83</v>
      </c>
      <c r="B3" s="402"/>
      <c r="C3" s="131" t="s">
        <v>164</v>
      </c>
      <c r="D3" s="131"/>
      <c r="E3" s="132"/>
      <c r="F3" s="133" t="s">
        <v>84</v>
      </c>
      <c r="G3" s="132" t="s">
        <v>121</v>
      </c>
      <c r="I3" s="402" t="s">
        <v>83</v>
      </c>
      <c r="J3" s="402"/>
      <c r="K3" s="131" t="s">
        <v>120</v>
      </c>
      <c r="L3" s="131"/>
      <c r="M3" s="132"/>
      <c r="N3" s="133" t="s">
        <v>84</v>
      </c>
      <c r="O3" s="132" t="s">
        <v>118</v>
      </c>
    </row>
    <row r="5" spans="1:15" x14ac:dyDescent="0.35">
      <c r="A5" s="108" t="s">
        <v>77</v>
      </c>
      <c r="B5" s="178" t="s">
        <v>36</v>
      </c>
      <c r="C5" s="108" t="s">
        <v>85</v>
      </c>
      <c r="D5" s="108" t="s">
        <v>86</v>
      </c>
      <c r="E5" s="108" t="s">
        <v>88</v>
      </c>
      <c r="F5" s="108" t="s">
        <v>87</v>
      </c>
      <c r="G5" s="134" t="s">
        <v>56</v>
      </c>
      <c r="I5" s="108" t="s">
        <v>77</v>
      </c>
      <c r="J5" s="178" t="s">
        <v>36</v>
      </c>
      <c r="K5" s="108" t="s">
        <v>85</v>
      </c>
      <c r="L5" s="108" t="s">
        <v>86</v>
      </c>
      <c r="M5" s="108" t="s">
        <v>88</v>
      </c>
      <c r="N5" s="108" t="s">
        <v>87</v>
      </c>
      <c r="O5" s="108" t="s">
        <v>56</v>
      </c>
    </row>
    <row r="6" spans="1:15" ht="29" x14ac:dyDescent="0.35">
      <c r="A6" s="135">
        <v>1</v>
      </c>
      <c r="B6" s="226">
        <v>46054</v>
      </c>
      <c r="C6" s="108" t="s">
        <v>135</v>
      </c>
      <c r="D6" s="145" t="s">
        <v>172</v>
      </c>
      <c r="E6" s="108" t="s">
        <v>136</v>
      </c>
      <c r="F6" s="108" t="s">
        <v>173</v>
      </c>
      <c r="G6" s="108">
        <v>4300</v>
      </c>
      <c r="I6" s="135"/>
      <c r="J6" s="178"/>
      <c r="K6" s="108"/>
      <c r="L6" s="145"/>
      <c r="M6" s="108"/>
      <c r="N6" s="108"/>
      <c r="O6" s="108"/>
    </row>
    <row r="7" spans="1:15" ht="29" x14ac:dyDescent="0.35">
      <c r="A7" s="135">
        <v>2</v>
      </c>
      <c r="B7" s="226">
        <v>46055</v>
      </c>
      <c r="C7" s="108" t="s">
        <v>135</v>
      </c>
      <c r="D7" s="145" t="s">
        <v>226</v>
      </c>
      <c r="E7" s="108" t="s">
        <v>136</v>
      </c>
      <c r="F7" s="108" t="s">
        <v>227</v>
      </c>
      <c r="G7" s="108">
        <v>1350</v>
      </c>
      <c r="I7" s="135"/>
      <c r="J7" s="178"/>
      <c r="K7" s="108"/>
      <c r="L7" s="108"/>
      <c r="M7" s="108"/>
      <c r="N7" s="108"/>
      <c r="O7" s="108"/>
    </row>
    <row r="8" spans="1:15" ht="43.5" x14ac:dyDescent="0.35">
      <c r="A8" s="135">
        <v>3</v>
      </c>
      <c r="B8" s="226">
        <v>46055</v>
      </c>
      <c r="C8" s="108" t="s">
        <v>135</v>
      </c>
      <c r="D8" s="145" t="s">
        <v>228</v>
      </c>
      <c r="E8" s="108" t="s">
        <v>136</v>
      </c>
      <c r="F8" s="108" t="s">
        <v>227</v>
      </c>
      <c r="G8" s="108">
        <v>1050</v>
      </c>
      <c r="I8" s="135"/>
      <c r="J8" s="178"/>
      <c r="K8" s="108"/>
      <c r="L8" s="145"/>
      <c r="M8" s="108"/>
      <c r="N8" s="108"/>
      <c r="O8" s="108"/>
    </row>
    <row r="9" spans="1:15" ht="29" x14ac:dyDescent="0.35">
      <c r="A9" s="135">
        <v>4</v>
      </c>
      <c r="B9" s="226">
        <v>46055</v>
      </c>
      <c r="C9" s="108" t="s">
        <v>135</v>
      </c>
      <c r="D9" s="145" t="s">
        <v>230</v>
      </c>
      <c r="E9" s="108" t="s">
        <v>136</v>
      </c>
      <c r="F9" s="108" t="s">
        <v>138</v>
      </c>
      <c r="G9" s="108">
        <v>200</v>
      </c>
      <c r="I9" s="135"/>
      <c r="J9" s="178"/>
      <c r="K9" s="108"/>
      <c r="L9" s="108"/>
      <c r="M9" s="108"/>
      <c r="N9" s="108"/>
      <c r="O9" s="108"/>
    </row>
    <row r="10" spans="1:15" ht="63.5" customHeight="1" x14ac:dyDescent="0.35">
      <c r="A10" s="135">
        <v>5</v>
      </c>
      <c r="B10" s="226">
        <v>46056</v>
      </c>
      <c r="C10" s="108" t="s">
        <v>135</v>
      </c>
      <c r="D10" s="145" t="s">
        <v>231</v>
      </c>
      <c r="E10" s="108" t="s">
        <v>136</v>
      </c>
      <c r="F10" s="108" t="s">
        <v>227</v>
      </c>
      <c r="G10" s="108">
        <v>1720</v>
      </c>
      <c r="I10" s="135"/>
      <c r="J10" s="178"/>
      <c r="K10" s="108"/>
      <c r="L10" s="108"/>
      <c r="M10" s="108"/>
      <c r="N10" s="108"/>
      <c r="O10" s="108"/>
    </row>
    <row r="11" spans="1:15" ht="36.75" customHeight="1" x14ac:dyDescent="0.35">
      <c r="A11" s="135">
        <v>6</v>
      </c>
      <c r="B11" s="226">
        <v>46056</v>
      </c>
      <c r="C11" s="108" t="s">
        <v>135</v>
      </c>
      <c r="D11" s="145" t="s">
        <v>232</v>
      </c>
      <c r="E11" s="108" t="s">
        <v>136</v>
      </c>
      <c r="F11" s="108" t="s">
        <v>227</v>
      </c>
      <c r="G11" s="108">
        <v>970</v>
      </c>
      <c r="I11" s="135"/>
      <c r="J11" s="178"/>
      <c r="K11" s="108"/>
      <c r="L11" s="108"/>
      <c r="M11" s="108"/>
      <c r="N11" s="108"/>
      <c r="O11" s="108"/>
    </row>
    <row r="12" spans="1:15" ht="42" customHeight="1" x14ac:dyDescent="0.35">
      <c r="A12" s="135">
        <v>7</v>
      </c>
      <c r="B12" s="226">
        <v>46056</v>
      </c>
      <c r="C12" s="108" t="s">
        <v>135</v>
      </c>
      <c r="D12" s="145" t="s">
        <v>233</v>
      </c>
      <c r="E12" s="108" t="s">
        <v>136</v>
      </c>
      <c r="F12" s="108" t="s">
        <v>227</v>
      </c>
      <c r="G12" s="108">
        <v>380</v>
      </c>
      <c r="I12" s="135"/>
      <c r="J12" s="178"/>
      <c r="K12" s="108"/>
      <c r="L12" s="108"/>
      <c r="M12" s="108"/>
      <c r="N12" s="108"/>
      <c r="O12" s="108"/>
    </row>
    <row r="13" spans="1:15" ht="32.15" customHeight="1" x14ac:dyDescent="0.35">
      <c r="A13" s="135">
        <v>8</v>
      </c>
      <c r="B13" s="226">
        <v>46056</v>
      </c>
      <c r="C13" s="108" t="s">
        <v>135</v>
      </c>
      <c r="D13" s="145" t="s">
        <v>234</v>
      </c>
      <c r="E13" s="108" t="s">
        <v>136</v>
      </c>
      <c r="F13" s="108" t="s">
        <v>227</v>
      </c>
      <c r="G13" s="108">
        <v>140</v>
      </c>
      <c r="I13" s="135"/>
      <c r="J13" s="178"/>
      <c r="K13" s="108"/>
      <c r="L13" s="108"/>
      <c r="M13" s="108"/>
      <c r="N13" s="108"/>
      <c r="O13" s="108"/>
    </row>
    <row r="14" spans="1:15" ht="18.5" x14ac:dyDescent="0.35">
      <c r="A14" s="135">
        <v>9</v>
      </c>
      <c r="B14" s="226">
        <v>46056</v>
      </c>
      <c r="C14" s="108" t="s">
        <v>135</v>
      </c>
      <c r="D14" s="145" t="s">
        <v>235</v>
      </c>
      <c r="E14" s="108" t="s">
        <v>136</v>
      </c>
      <c r="F14" s="108" t="s">
        <v>227</v>
      </c>
      <c r="G14" s="108">
        <v>100</v>
      </c>
      <c r="I14" s="135"/>
      <c r="J14" s="178"/>
      <c r="K14" s="108"/>
      <c r="L14" s="108"/>
      <c r="M14" s="108"/>
      <c r="N14" s="108"/>
      <c r="O14" s="108"/>
    </row>
    <row r="15" spans="1:15" ht="18.5" x14ac:dyDescent="0.35">
      <c r="A15" s="135">
        <v>10</v>
      </c>
      <c r="B15" s="226">
        <v>46058</v>
      </c>
      <c r="C15" s="108" t="s">
        <v>135</v>
      </c>
      <c r="D15" s="145" t="s">
        <v>239</v>
      </c>
      <c r="E15" s="108" t="s">
        <v>136</v>
      </c>
      <c r="F15" s="108" t="s">
        <v>138</v>
      </c>
      <c r="G15" s="108">
        <v>180</v>
      </c>
      <c r="I15" s="135"/>
      <c r="J15" s="178"/>
      <c r="K15" s="108"/>
      <c r="L15" s="108"/>
      <c r="M15" s="108"/>
      <c r="N15" s="108"/>
      <c r="O15" s="108"/>
    </row>
    <row r="16" spans="1:15" ht="41" customHeight="1" x14ac:dyDescent="0.35">
      <c r="A16" s="135">
        <v>11</v>
      </c>
      <c r="B16" s="226">
        <v>46058</v>
      </c>
      <c r="C16" s="108" t="s">
        <v>135</v>
      </c>
      <c r="D16" s="145" t="s">
        <v>237</v>
      </c>
      <c r="E16" s="108" t="s">
        <v>136</v>
      </c>
      <c r="F16" s="108" t="s">
        <v>227</v>
      </c>
      <c r="G16" s="108">
        <v>1200</v>
      </c>
      <c r="I16" s="249"/>
      <c r="J16" s="178"/>
      <c r="K16" s="108"/>
      <c r="L16" s="108"/>
      <c r="M16" s="108"/>
      <c r="N16" s="108"/>
      <c r="O16" s="108"/>
    </row>
    <row r="17" spans="1:15" ht="30.75" customHeight="1" x14ac:dyDescent="0.35">
      <c r="A17" s="135">
        <v>12</v>
      </c>
      <c r="B17" s="226">
        <v>46058</v>
      </c>
      <c r="C17" s="108" t="s">
        <v>135</v>
      </c>
      <c r="D17" s="145" t="s">
        <v>238</v>
      </c>
      <c r="E17" s="108" t="s">
        <v>136</v>
      </c>
      <c r="F17" s="108" t="s">
        <v>227</v>
      </c>
      <c r="G17" s="108">
        <v>960</v>
      </c>
      <c r="I17" s="249"/>
      <c r="J17" s="178"/>
      <c r="K17" s="108"/>
      <c r="L17" s="108"/>
      <c r="M17" s="108"/>
      <c r="N17" s="108"/>
      <c r="O17" s="108"/>
    </row>
    <row r="18" spans="1:15" ht="54.5" customHeight="1" x14ac:dyDescent="0.35">
      <c r="A18" s="135">
        <v>13</v>
      </c>
      <c r="B18" s="226">
        <v>46060</v>
      </c>
      <c r="C18" s="108" t="s">
        <v>135</v>
      </c>
      <c r="D18" s="145" t="s">
        <v>240</v>
      </c>
      <c r="E18" s="108" t="s">
        <v>136</v>
      </c>
      <c r="F18" s="108" t="s">
        <v>173</v>
      </c>
      <c r="G18" s="108">
        <v>4400</v>
      </c>
      <c r="I18" s="135"/>
      <c r="J18" s="178"/>
      <c r="K18" s="108"/>
      <c r="L18" s="108"/>
      <c r="M18" s="108"/>
      <c r="N18" s="108"/>
      <c r="O18" s="108"/>
    </row>
    <row r="19" spans="1:15" ht="29" x14ac:dyDescent="0.35">
      <c r="A19" s="135">
        <v>14</v>
      </c>
      <c r="B19" s="226">
        <v>46061</v>
      </c>
      <c r="C19" s="108" t="s">
        <v>135</v>
      </c>
      <c r="D19" s="145" t="s">
        <v>230</v>
      </c>
      <c r="E19" s="108" t="s">
        <v>136</v>
      </c>
      <c r="F19" s="108" t="s">
        <v>227</v>
      </c>
      <c r="G19" s="108">
        <v>50</v>
      </c>
      <c r="I19" s="135"/>
      <c r="J19" s="178"/>
      <c r="K19" s="108"/>
      <c r="L19" s="108"/>
      <c r="M19" s="108"/>
      <c r="N19" s="108"/>
      <c r="O19" s="108"/>
    </row>
    <row r="20" spans="1:15" ht="18.5" x14ac:dyDescent="0.35">
      <c r="A20" s="135">
        <v>15</v>
      </c>
      <c r="B20" s="226">
        <v>46061</v>
      </c>
      <c r="C20" s="108" t="s">
        <v>135</v>
      </c>
      <c r="D20" s="145" t="s">
        <v>242</v>
      </c>
      <c r="E20" s="108" t="s">
        <v>136</v>
      </c>
      <c r="F20" s="108" t="s">
        <v>227</v>
      </c>
      <c r="G20" s="108">
        <v>1180</v>
      </c>
      <c r="I20" s="135"/>
      <c r="J20" s="178"/>
      <c r="K20" s="108"/>
      <c r="L20" s="108"/>
      <c r="M20" s="108"/>
      <c r="N20" s="108"/>
      <c r="O20" s="108"/>
    </row>
    <row r="21" spans="1:15" ht="58" x14ac:dyDescent="0.35">
      <c r="A21" s="135">
        <v>16</v>
      </c>
      <c r="B21" s="226">
        <v>46062</v>
      </c>
      <c r="C21" s="108" t="s">
        <v>135</v>
      </c>
      <c r="D21" s="145" t="s">
        <v>245</v>
      </c>
      <c r="E21" s="108" t="s">
        <v>136</v>
      </c>
      <c r="F21" s="108" t="s">
        <v>227</v>
      </c>
      <c r="G21" s="108">
        <v>960</v>
      </c>
      <c r="I21" s="135"/>
      <c r="J21" s="178"/>
      <c r="K21" s="108"/>
      <c r="L21" s="108"/>
      <c r="M21" s="108"/>
      <c r="N21" s="108"/>
      <c r="O21" s="108"/>
    </row>
    <row r="22" spans="1:15" ht="86" customHeight="1" x14ac:dyDescent="0.35">
      <c r="A22" s="135">
        <v>17</v>
      </c>
      <c r="B22" s="226">
        <v>46062</v>
      </c>
      <c r="C22" s="108" t="s">
        <v>135</v>
      </c>
      <c r="D22" s="145" t="s">
        <v>251</v>
      </c>
      <c r="E22" s="108" t="s">
        <v>136</v>
      </c>
      <c r="F22" s="108" t="s">
        <v>227</v>
      </c>
      <c r="G22" s="108">
        <v>1000</v>
      </c>
      <c r="I22" s="135"/>
      <c r="J22" s="178"/>
      <c r="K22" s="108"/>
      <c r="L22" s="108"/>
      <c r="M22" s="108"/>
      <c r="N22" s="108"/>
      <c r="O22" s="108"/>
    </row>
    <row r="23" spans="1:15" ht="18.5" x14ac:dyDescent="0.35">
      <c r="A23" s="135">
        <v>18</v>
      </c>
      <c r="B23" s="226">
        <v>46062</v>
      </c>
      <c r="C23" s="108" t="s">
        <v>135</v>
      </c>
      <c r="D23" s="145" t="s">
        <v>247</v>
      </c>
      <c r="E23" s="108" t="s">
        <v>136</v>
      </c>
      <c r="F23" s="108" t="s">
        <v>138</v>
      </c>
      <c r="G23" s="108">
        <v>120</v>
      </c>
      <c r="I23" s="135"/>
      <c r="J23" s="178"/>
      <c r="K23" s="108"/>
      <c r="L23" s="108"/>
      <c r="M23" s="108"/>
      <c r="N23" s="108"/>
      <c r="O23" s="108"/>
    </row>
    <row r="24" spans="1:15" ht="29" x14ac:dyDescent="0.35">
      <c r="A24" s="135">
        <v>19</v>
      </c>
      <c r="B24" s="226">
        <v>46063</v>
      </c>
      <c r="C24" s="108" t="s">
        <v>135</v>
      </c>
      <c r="D24" s="145" t="s">
        <v>236</v>
      </c>
      <c r="E24" s="108" t="s">
        <v>136</v>
      </c>
      <c r="F24" s="108" t="s">
        <v>227</v>
      </c>
      <c r="G24" s="108">
        <v>550</v>
      </c>
      <c r="I24" s="135"/>
      <c r="J24" s="178"/>
      <c r="K24" s="108"/>
      <c r="L24" s="108"/>
      <c r="M24" s="108"/>
      <c r="N24" s="108"/>
      <c r="O24" s="108"/>
    </row>
    <row r="25" spans="1:15" ht="33.65" customHeight="1" x14ac:dyDescent="0.35">
      <c r="A25" s="135">
        <v>20</v>
      </c>
      <c r="B25" s="226">
        <v>46063</v>
      </c>
      <c r="C25" s="108" t="s">
        <v>135</v>
      </c>
      <c r="D25" s="145" t="s">
        <v>253</v>
      </c>
      <c r="E25" s="108" t="s">
        <v>136</v>
      </c>
      <c r="F25" s="108" t="s">
        <v>227</v>
      </c>
      <c r="G25" s="108">
        <v>20</v>
      </c>
      <c r="I25" s="135"/>
      <c r="J25" s="178"/>
      <c r="K25" s="108"/>
      <c r="L25" s="108"/>
      <c r="M25" s="108"/>
      <c r="N25" s="108"/>
      <c r="O25" s="108"/>
    </row>
    <row r="26" spans="1:15" ht="33.65" customHeight="1" x14ac:dyDescent="0.35">
      <c r="A26" s="135">
        <v>21</v>
      </c>
      <c r="B26" s="226">
        <v>46063</v>
      </c>
      <c r="C26" s="108" t="s">
        <v>135</v>
      </c>
      <c r="D26" s="145" t="s">
        <v>254</v>
      </c>
      <c r="E26" s="108" t="s">
        <v>136</v>
      </c>
      <c r="F26" s="108" t="s">
        <v>227</v>
      </c>
      <c r="G26" s="108">
        <v>230</v>
      </c>
      <c r="I26" s="135"/>
      <c r="J26" s="178"/>
      <c r="K26" s="108"/>
      <c r="L26" s="108"/>
      <c r="M26" s="108"/>
      <c r="N26" s="108"/>
      <c r="O26" s="108"/>
    </row>
    <row r="27" spans="1:15" ht="33.65" customHeight="1" x14ac:dyDescent="0.35">
      <c r="A27" s="135">
        <v>22</v>
      </c>
      <c r="B27" s="226">
        <v>46063</v>
      </c>
      <c r="C27" s="108" t="s">
        <v>135</v>
      </c>
      <c r="D27" s="145" t="s">
        <v>255</v>
      </c>
      <c r="E27" s="108" t="s">
        <v>136</v>
      </c>
      <c r="F27" s="108" t="s">
        <v>227</v>
      </c>
      <c r="G27" s="108">
        <v>130</v>
      </c>
      <c r="I27" s="135"/>
      <c r="J27" s="178"/>
      <c r="K27" s="108"/>
      <c r="L27" s="108"/>
      <c r="M27" s="108"/>
      <c r="N27" s="108"/>
      <c r="O27" s="108"/>
    </row>
    <row r="28" spans="1:15" ht="18.5" x14ac:dyDescent="0.35">
      <c r="A28" s="135"/>
      <c r="B28" s="216"/>
      <c r="C28" s="102"/>
      <c r="D28" s="102"/>
      <c r="E28" s="102"/>
      <c r="F28" s="102"/>
      <c r="G28" s="102"/>
      <c r="I28" s="135"/>
      <c r="J28" s="178"/>
      <c r="K28" s="108"/>
      <c r="L28" s="108"/>
      <c r="M28" s="108"/>
      <c r="N28" s="108"/>
      <c r="O28" s="108"/>
    </row>
    <row r="29" spans="1:15" ht="18.5" x14ac:dyDescent="0.35">
      <c r="A29" s="135"/>
      <c r="C29" s="403"/>
      <c r="D29" s="403"/>
      <c r="E29" s="403"/>
      <c r="G29" s="227"/>
      <c r="I29" s="124"/>
      <c r="J29" s="186"/>
      <c r="K29" s="124"/>
      <c r="L29" s="124"/>
      <c r="M29" s="124"/>
      <c r="N29" s="108"/>
      <c r="O29" s="134"/>
    </row>
    <row r="30" spans="1:15" x14ac:dyDescent="0.35">
      <c r="C30" s="403"/>
      <c r="D30" s="403"/>
      <c r="E30" s="403"/>
      <c r="F30" s="108" t="s">
        <v>23</v>
      </c>
      <c r="G30" s="108">
        <f>SUM(G6:G27)</f>
        <v>21190</v>
      </c>
    </row>
    <row r="31" spans="1:15" x14ac:dyDescent="0.35">
      <c r="B31" s="186"/>
      <c r="C31" s="403"/>
      <c r="D31" s="403"/>
      <c r="E31" s="403"/>
      <c r="F31" s="404"/>
      <c r="G31" s="404"/>
      <c r="I31" s="114"/>
      <c r="J31" s="179"/>
      <c r="K31" s="114"/>
      <c r="L31" s="114"/>
      <c r="M31" s="114"/>
      <c r="N31" s="114"/>
      <c r="O31" s="114"/>
    </row>
    <row r="32" spans="1:15" x14ac:dyDescent="0.35">
      <c r="F32" s="401"/>
      <c r="G32" s="401"/>
      <c r="I32" s="137" t="s">
        <v>78</v>
      </c>
      <c r="J32" s="180"/>
      <c r="K32" s="47"/>
      <c r="L32" s="47" t="s">
        <v>79</v>
      </c>
      <c r="M32" s="47"/>
      <c r="N32" s="47" t="s">
        <v>80</v>
      </c>
      <c r="O32" s="47"/>
    </row>
    <row r="33" spans="1:14" x14ac:dyDescent="0.35">
      <c r="A33" s="137"/>
      <c r="B33" s="179"/>
      <c r="C33" s="114"/>
      <c r="D33" s="114"/>
      <c r="E33" s="114"/>
      <c r="F33" s="401"/>
      <c r="G33" s="401"/>
      <c r="I33" s="138" t="s">
        <v>30</v>
      </c>
      <c r="J33" s="179"/>
      <c r="K33" s="114"/>
      <c r="L33" s="114" t="s">
        <v>81</v>
      </c>
      <c r="N33" s="114" t="s">
        <v>82</v>
      </c>
    </row>
    <row r="34" spans="1:14" x14ac:dyDescent="0.35">
      <c r="A34" s="137" t="s">
        <v>78</v>
      </c>
      <c r="B34" s="179"/>
      <c r="C34" s="47"/>
      <c r="D34" s="47" t="s">
        <v>79</v>
      </c>
      <c r="E34" s="47"/>
      <c r="F34" s="47" t="s">
        <v>80</v>
      </c>
      <c r="G34" s="47"/>
    </row>
    <row r="35" spans="1:14" x14ac:dyDescent="0.35">
      <c r="A35" s="138" t="s">
        <v>30</v>
      </c>
      <c r="C35" s="222"/>
      <c r="D35" s="114" t="s">
        <v>81</v>
      </c>
      <c r="F35" s="114" t="s">
        <v>82</v>
      </c>
    </row>
    <row r="36" spans="1:14" x14ac:dyDescent="0.35">
      <c r="B36" s="222"/>
      <c r="C36" s="222"/>
    </row>
  </sheetData>
  <mergeCells count="8">
    <mergeCell ref="I1:O1"/>
    <mergeCell ref="I2:O2"/>
    <mergeCell ref="I3:J3"/>
    <mergeCell ref="C29:E31"/>
    <mergeCell ref="F31:G33"/>
    <mergeCell ref="A1:G1"/>
    <mergeCell ref="A2:G2"/>
    <mergeCell ref="A3:B3"/>
  </mergeCells>
  <conditionalFormatting sqref="B16:D16">
    <cfRule type="timePeriod" dxfId="0" priority="1" timePeriod="yesterday">
      <formula>FLOOR(B16,1)=TODAY()-1</formula>
    </cfRule>
  </conditionalFormatting>
  <pageMargins left="0.25" right="0.25" top="0.75" bottom="0.75" header="0.3" footer="0.3"/>
  <pageSetup paperSize="9" scale="3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15"/>
  <sheetViews>
    <sheetView topLeftCell="A88" workbookViewId="0">
      <selection activeCell="K92" sqref="K92"/>
    </sheetView>
  </sheetViews>
  <sheetFormatPr defaultRowHeight="14.5" x14ac:dyDescent="0.35"/>
  <cols>
    <col min="2" max="2" width="11.26953125" style="143" customWidth="1"/>
    <col min="3" max="3" width="29.453125" customWidth="1"/>
    <col min="4" max="4" width="18.453125" customWidth="1"/>
    <col min="5" max="5" width="15.26953125" bestFit="1" customWidth="1"/>
    <col min="6" max="6" width="13.7265625" customWidth="1"/>
    <col min="7" max="7" width="15.453125" customWidth="1"/>
    <col min="9" max="9" width="8.26953125" customWidth="1"/>
    <col min="10" max="10" width="11.26953125" style="143" customWidth="1"/>
    <col min="11" max="11" width="25.81640625" customWidth="1"/>
    <col min="12" max="12" width="19.1796875" customWidth="1"/>
    <col min="13" max="13" width="13.81640625" customWidth="1"/>
    <col min="14" max="14" width="15" customWidth="1"/>
  </cols>
  <sheetData>
    <row r="1" spans="1:15" x14ac:dyDescent="0.35">
      <c r="A1" s="405" t="s">
        <v>0</v>
      </c>
      <c r="B1" s="406"/>
      <c r="C1" s="406"/>
      <c r="D1" s="406"/>
      <c r="E1" s="406"/>
      <c r="F1" s="406"/>
      <c r="G1" s="407"/>
      <c r="I1" s="405" t="s">
        <v>0</v>
      </c>
      <c r="J1" s="406"/>
      <c r="K1" s="406"/>
      <c r="L1" s="406"/>
      <c r="M1" s="406"/>
      <c r="N1" s="406"/>
      <c r="O1" s="407"/>
    </row>
    <row r="2" spans="1:15" x14ac:dyDescent="0.35">
      <c r="A2" s="408"/>
      <c r="B2" s="401"/>
      <c r="C2" s="401"/>
      <c r="D2" s="401"/>
      <c r="E2" s="401"/>
      <c r="F2" s="401"/>
      <c r="G2" s="409"/>
      <c r="I2" s="408"/>
      <c r="J2" s="401"/>
      <c r="K2" s="401"/>
      <c r="L2" s="401"/>
      <c r="M2" s="401"/>
      <c r="N2" s="401"/>
      <c r="O2" s="409"/>
    </row>
    <row r="3" spans="1:15" x14ac:dyDescent="0.35">
      <c r="A3" s="410" t="s">
        <v>83</v>
      </c>
      <c r="B3" s="411"/>
      <c r="C3" s="123" t="s">
        <v>165</v>
      </c>
      <c r="D3" s="123"/>
      <c r="E3" s="124"/>
      <c r="F3" s="125" t="s">
        <v>84</v>
      </c>
      <c r="G3" s="126" t="s">
        <v>118</v>
      </c>
      <c r="I3" s="410" t="s">
        <v>83</v>
      </c>
      <c r="J3" s="411"/>
      <c r="K3" s="123" t="s">
        <v>125</v>
      </c>
      <c r="L3" s="123"/>
      <c r="M3" s="124"/>
      <c r="N3" s="125" t="s">
        <v>84</v>
      </c>
      <c r="O3" s="126" t="s">
        <v>122</v>
      </c>
    </row>
    <row r="4" spans="1:15" x14ac:dyDescent="0.35">
      <c r="A4" s="105"/>
      <c r="G4" s="106"/>
      <c r="I4" s="105"/>
      <c r="O4" s="106"/>
    </row>
    <row r="5" spans="1:15" x14ac:dyDescent="0.35">
      <c r="A5" s="107" t="s">
        <v>77</v>
      </c>
      <c r="B5" s="178" t="s">
        <v>36</v>
      </c>
      <c r="C5" s="108" t="s">
        <v>85</v>
      </c>
      <c r="D5" s="108" t="s">
        <v>86</v>
      </c>
      <c r="E5" s="108" t="s">
        <v>5</v>
      </c>
      <c r="F5" s="108" t="s">
        <v>87</v>
      </c>
      <c r="G5" s="109" t="s">
        <v>56</v>
      </c>
      <c r="I5" s="107" t="s">
        <v>77</v>
      </c>
      <c r="J5" s="178" t="s">
        <v>36</v>
      </c>
      <c r="K5" s="108" t="s">
        <v>85</v>
      </c>
      <c r="L5" s="108" t="s">
        <v>86</v>
      </c>
      <c r="M5" s="108" t="s">
        <v>5</v>
      </c>
      <c r="N5" s="108" t="s">
        <v>87</v>
      </c>
      <c r="O5" s="109" t="s">
        <v>56</v>
      </c>
    </row>
    <row r="6" spans="1:15" ht="43.5" x14ac:dyDescent="0.35">
      <c r="A6" s="110">
        <v>1</v>
      </c>
      <c r="B6" s="178">
        <v>46055</v>
      </c>
      <c r="C6" s="145" t="s">
        <v>226</v>
      </c>
      <c r="D6" s="111" t="s">
        <v>135</v>
      </c>
      <c r="E6" s="167" t="s">
        <v>136</v>
      </c>
      <c r="F6" s="108" t="s">
        <v>137</v>
      </c>
      <c r="G6" s="112">
        <v>350</v>
      </c>
      <c r="I6" s="107">
        <v>1</v>
      </c>
      <c r="J6" s="226">
        <v>44964</v>
      </c>
      <c r="K6" s="145" t="s">
        <v>161</v>
      </c>
      <c r="L6" s="111" t="s">
        <v>135</v>
      </c>
      <c r="M6" s="196" t="s">
        <v>136</v>
      </c>
      <c r="N6" s="108" t="s">
        <v>146</v>
      </c>
      <c r="O6" s="112">
        <v>60</v>
      </c>
    </row>
    <row r="7" spans="1:15" ht="43.5" x14ac:dyDescent="0.35">
      <c r="A7" s="110">
        <v>2</v>
      </c>
      <c r="B7" s="178">
        <v>46055</v>
      </c>
      <c r="C7" s="145" t="s">
        <v>228</v>
      </c>
      <c r="D7" s="111" t="s">
        <v>135</v>
      </c>
      <c r="E7" s="167" t="s">
        <v>136</v>
      </c>
      <c r="F7" s="108" t="s">
        <v>137</v>
      </c>
      <c r="G7" s="112">
        <v>400</v>
      </c>
      <c r="I7" s="110"/>
      <c r="J7" s="147"/>
      <c r="K7" s="111"/>
      <c r="L7" s="111"/>
      <c r="M7" s="111"/>
      <c r="N7" s="111" t="s">
        <v>23</v>
      </c>
      <c r="O7" s="112">
        <f>SUM(O6:O6)</f>
        <v>60</v>
      </c>
    </row>
    <row r="8" spans="1:15" x14ac:dyDescent="0.35">
      <c r="A8" s="111">
        <v>3</v>
      </c>
      <c r="B8" s="178">
        <v>46056</v>
      </c>
      <c r="C8" s="145" t="s">
        <v>256</v>
      </c>
      <c r="D8" s="111" t="s">
        <v>135</v>
      </c>
      <c r="E8" s="111" t="s">
        <v>136</v>
      </c>
      <c r="F8" s="108" t="s">
        <v>137</v>
      </c>
      <c r="G8" s="112">
        <v>400</v>
      </c>
      <c r="I8" s="113"/>
      <c r="J8" s="179"/>
      <c r="K8" s="114"/>
      <c r="L8" s="114"/>
      <c r="M8" s="114"/>
      <c r="N8" s="114"/>
      <c r="O8" s="115"/>
    </row>
    <row r="9" spans="1:15" x14ac:dyDescent="0.35">
      <c r="A9" s="114"/>
      <c r="F9" s="111"/>
      <c r="G9" s="112"/>
      <c r="I9" s="116" t="s">
        <v>78</v>
      </c>
      <c r="J9" s="180"/>
      <c r="K9" s="47"/>
      <c r="L9" s="47" t="s">
        <v>79</v>
      </c>
      <c r="M9" s="47"/>
      <c r="N9" s="47" t="s">
        <v>80</v>
      </c>
      <c r="O9" s="117"/>
    </row>
    <row r="10" spans="1:15" ht="15" thickBot="1" x14ac:dyDescent="0.4">
      <c r="A10" s="105"/>
      <c r="F10" s="111" t="s">
        <v>23</v>
      </c>
      <c r="G10" s="112">
        <f>SUM(G6:G8)</f>
        <v>1150</v>
      </c>
      <c r="I10" s="127" t="s">
        <v>30</v>
      </c>
      <c r="J10" s="191"/>
      <c r="K10" s="128"/>
      <c r="L10" s="128" t="s">
        <v>81</v>
      </c>
      <c r="M10" s="129"/>
      <c r="N10" s="128" t="s">
        <v>82</v>
      </c>
      <c r="O10" s="130"/>
    </row>
    <row r="11" spans="1:15" ht="15" thickBot="1" x14ac:dyDescent="0.4">
      <c r="A11" s="113"/>
      <c r="B11" s="179"/>
      <c r="C11" s="114"/>
      <c r="D11" s="114"/>
      <c r="E11" s="114"/>
      <c r="F11" s="114"/>
      <c r="G11" s="115"/>
    </row>
    <row r="12" spans="1:15" x14ac:dyDescent="0.35">
      <c r="A12" s="116" t="s">
        <v>78</v>
      </c>
      <c r="B12" s="180"/>
      <c r="C12" s="47"/>
      <c r="D12" s="47" t="s">
        <v>79</v>
      </c>
      <c r="E12" s="47"/>
      <c r="F12" s="47" t="s">
        <v>80</v>
      </c>
      <c r="G12" s="117"/>
      <c r="I12" s="405" t="s">
        <v>0</v>
      </c>
      <c r="J12" s="406"/>
      <c r="K12" s="406"/>
      <c r="L12" s="406"/>
      <c r="M12" s="406"/>
      <c r="N12" s="406"/>
      <c r="O12" s="407"/>
    </row>
    <row r="13" spans="1:15" ht="15" thickBot="1" x14ac:dyDescent="0.4">
      <c r="A13" s="127" t="s">
        <v>30</v>
      </c>
      <c r="B13" s="191"/>
      <c r="C13" s="128"/>
      <c r="D13" s="128" t="s">
        <v>81</v>
      </c>
      <c r="E13" s="129"/>
      <c r="F13" s="128" t="s">
        <v>82</v>
      </c>
      <c r="G13" s="130"/>
      <c r="I13" s="408"/>
      <c r="J13" s="401"/>
      <c r="K13" s="401"/>
      <c r="L13" s="401"/>
      <c r="M13" s="401"/>
      <c r="N13" s="401"/>
      <c r="O13" s="409"/>
    </row>
    <row r="14" spans="1:15" ht="15" thickBot="1" x14ac:dyDescent="0.4">
      <c r="I14" s="410" t="s">
        <v>83</v>
      </c>
      <c r="J14" s="411"/>
      <c r="K14" s="123" t="s">
        <v>126</v>
      </c>
      <c r="L14" s="123"/>
      <c r="M14" s="124"/>
      <c r="N14" s="125" t="s">
        <v>84</v>
      </c>
      <c r="O14" s="126" t="s">
        <v>118</v>
      </c>
    </row>
    <row r="15" spans="1:15" x14ac:dyDescent="0.35">
      <c r="A15" s="405" t="s">
        <v>0</v>
      </c>
      <c r="B15" s="406"/>
      <c r="C15" s="406"/>
      <c r="D15" s="406"/>
      <c r="E15" s="406"/>
      <c r="F15" s="406"/>
      <c r="G15" s="407"/>
      <c r="I15" s="105"/>
      <c r="O15" s="106"/>
    </row>
    <row r="16" spans="1:15" x14ac:dyDescent="0.35">
      <c r="A16" s="408"/>
      <c r="B16" s="401"/>
      <c r="C16" s="401"/>
      <c r="D16" s="401"/>
      <c r="E16" s="401"/>
      <c r="F16" s="401"/>
      <c r="G16" s="409"/>
      <c r="I16" s="107" t="s">
        <v>77</v>
      </c>
      <c r="J16" s="178" t="s">
        <v>36</v>
      </c>
      <c r="K16" s="108" t="s">
        <v>85</v>
      </c>
      <c r="L16" s="108" t="s">
        <v>86</v>
      </c>
      <c r="M16" s="108" t="s">
        <v>5</v>
      </c>
      <c r="N16" s="108" t="s">
        <v>87</v>
      </c>
      <c r="O16" s="109" t="s">
        <v>56</v>
      </c>
    </row>
    <row r="17" spans="1:15" x14ac:dyDescent="0.35">
      <c r="A17" s="410" t="s">
        <v>83</v>
      </c>
      <c r="B17" s="411"/>
      <c r="C17" s="123" t="s">
        <v>163</v>
      </c>
      <c r="D17" s="123"/>
      <c r="E17" s="124"/>
      <c r="F17" s="125" t="s">
        <v>84</v>
      </c>
      <c r="G17" s="126" t="s">
        <v>145</v>
      </c>
      <c r="I17" s="110">
        <v>1</v>
      </c>
      <c r="J17" s="226">
        <v>45202</v>
      </c>
      <c r="K17" s="145" t="s">
        <v>141</v>
      </c>
      <c r="L17" s="111" t="s">
        <v>135</v>
      </c>
      <c r="M17" s="167" t="s">
        <v>136</v>
      </c>
      <c r="N17" s="108" t="s">
        <v>137</v>
      </c>
      <c r="O17" s="112"/>
    </row>
    <row r="18" spans="1:15" x14ac:dyDescent="0.35">
      <c r="A18" s="105"/>
      <c r="G18" s="106"/>
      <c r="I18" s="110">
        <v>2</v>
      </c>
      <c r="J18" s="226">
        <v>45203</v>
      </c>
      <c r="K18" s="108" t="s">
        <v>140</v>
      </c>
      <c r="L18" s="111" t="s">
        <v>135</v>
      </c>
      <c r="M18" s="167" t="s">
        <v>136</v>
      </c>
      <c r="N18" s="108" t="s">
        <v>138</v>
      </c>
      <c r="O18" s="112"/>
    </row>
    <row r="19" spans="1:15" x14ac:dyDescent="0.35">
      <c r="A19" s="107" t="s">
        <v>77</v>
      </c>
      <c r="B19" s="178" t="s">
        <v>36</v>
      </c>
      <c r="C19" s="108" t="s">
        <v>85</v>
      </c>
      <c r="D19" s="108" t="s">
        <v>86</v>
      </c>
      <c r="E19" s="108" t="s">
        <v>5</v>
      </c>
      <c r="F19" s="108" t="s">
        <v>87</v>
      </c>
      <c r="G19" s="109" t="s">
        <v>56</v>
      </c>
      <c r="I19" s="111"/>
      <c r="J19" s="216"/>
      <c r="K19" s="102"/>
      <c r="L19" s="102"/>
      <c r="M19" s="102"/>
      <c r="N19" s="102"/>
      <c r="O19" s="102"/>
    </row>
    <row r="20" spans="1:15" x14ac:dyDescent="0.35">
      <c r="A20" s="107">
        <v>1</v>
      </c>
      <c r="B20" s="226">
        <v>46061</v>
      </c>
      <c r="C20" s="145" t="s">
        <v>242</v>
      </c>
      <c r="D20" s="111" t="s">
        <v>135</v>
      </c>
      <c r="E20" s="220" t="s">
        <v>136</v>
      </c>
      <c r="F20" s="108" t="s">
        <v>146</v>
      </c>
      <c r="G20" s="109">
        <v>300</v>
      </c>
      <c r="I20" s="418"/>
      <c r="J20" s="419"/>
      <c r="K20" s="419"/>
      <c r="L20" s="419"/>
      <c r="M20" s="420"/>
      <c r="N20" s="214" t="s">
        <v>23</v>
      </c>
      <c r="O20" s="215"/>
    </row>
    <row r="21" spans="1:15" ht="29" x14ac:dyDescent="0.35">
      <c r="A21" s="107">
        <v>2</v>
      </c>
      <c r="B21" s="226">
        <v>46062</v>
      </c>
      <c r="C21" s="145" t="s">
        <v>259</v>
      </c>
      <c r="D21" s="108" t="s">
        <v>135</v>
      </c>
      <c r="E21" s="108" t="s">
        <v>136</v>
      </c>
      <c r="F21" s="108" t="s">
        <v>146</v>
      </c>
      <c r="G21" s="108">
        <v>220</v>
      </c>
      <c r="I21" s="105"/>
      <c r="O21" s="106"/>
    </row>
    <row r="22" spans="1:15" x14ac:dyDescent="0.35">
      <c r="A22" s="107"/>
      <c r="B22" s="226">
        <v>46062</v>
      </c>
      <c r="C22" s="145" t="s">
        <v>260</v>
      </c>
      <c r="D22" s="108" t="s">
        <v>135</v>
      </c>
      <c r="E22" s="108" t="s">
        <v>136</v>
      </c>
      <c r="F22" s="108" t="s">
        <v>146</v>
      </c>
      <c r="G22" s="108">
        <v>40</v>
      </c>
      <c r="I22" s="105"/>
      <c r="O22" s="106"/>
    </row>
    <row r="23" spans="1:15" x14ac:dyDescent="0.35">
      <c r="A23" s="107">
        <v>3</v>
      </c>
      <c r="B23" s="226">
        <v>46063</v>
      </c>
      <c r="C23" s="145" t="s">
        <v>255</v>
      </c>
      <c r="D23" s="108" t="s">
        <v>135</v>
      </c>
      <c r="E23" s="108" t="s">
        <v>136</v>
      </c>
      <c r="F23" s="108" t="s">
        <v>146</v>
      </c>
      <c r="G23" s="108">
        <v>120</v>
      </c>
      <c r="I23" s="113"/>
      <c r="J23" s="179"/>
      <c r="K23" s="114"/>
      <c r="L23" s="114"/>
      <c r="M23" s="114"/>
      <c r="N23" s="114"/>
      <c r="O23" s="115"/>
    </row>
    <row r="24" spans="1:15" ht="15" thickBot="1" x14ac:dyDescent="0.4">
      <c r="A24" s="422" t="s">
        <v>128</v>
      </c>
      <c r="B24" s="423"/>
      <c r="C24" s="423"/>
      <c r="D24" s="423"/>
      <c r="E24" s="423"/>
      <c r="F24" s="424"/>
      <c r="G24" s="215"/>
      <c r="I24" s="127" t="s">
        <v>30</v>
      </c>
      <c r="J24" s="191"/>
      <c r="K24" s="128"/>
      <c r="L24" s="128" t="s">
        <v>81</v>
      </c>
      <c r="M24" s="129"/>
      <c r="N24" s="128" t="s">
        <v>82</v>
      </c>
      <c r="O24" s="130"/>
    </row>
    <row r="25" spans="1:15" x14ac:dyDescent="0.35">
      <c r="A25" s="425"/>
      <c r="B25" s="426"/>
      <c r="C25" s="426"/>
      <c r="D25" s="426"/>
      <c r="E25" s="426"/>
      <c r="F25" s="111" t="s">
        <v>23</v>
      </c>
      <c r="G25" s="112">
        <f>SUM(G20:G23)</f>
        <v>680</v>
      </c>
    </row>
    <row r="26" spans="1:15" ht="15" thickBot="1" x14ac:dyDescent="0.4">
      <c r="A26" s="418"/>
      <c r="B26" s="419"/>
      <c r="C26" s="419"/>
      <c r="D26" s="419"/>
      <c r="E26" s="419"/>
      <c r="G26" s="106"/>
    </row>
    <row r="27" spans="1:15" x14ac:dyDescent="0.35">
      <c r="A27" s="113"/>
      <c r="B27" s="179"/>
      <c r="C27" s="114"/>
      <c r="D27" s="114"/>
      <c r="E27" s="114"/>
      <c r="F27" s="114"/>
      <c r="G27" s="115"/>
      <c r="I27" s="405" t="s">
        <v>0</v>
      </c>
      <c r="J27" s="406"/>
      <c r="K27" s="406"/>
      <c r="L27" s="406"/>
      <c r="M27" s="406"/>
      <c r="N27" s="406"/>
      <c r="O27" s="407"/>
    </row>
    <row r="28" spans="1:15" x14ac:dyDescent="0.35">
      <c r="A28" s="116" t="s">
        <v>78</v>
      </c>
      <c r="B28" s="180"/>
      <c r="C28" s="47"/>
      <c r="D28" s="47" t="s">
        <v>79</v>
      </c>
      <c r="E28" s="47"/>
      <c r="F28" s="47" t="s">
        <v>80</v>
      </c>
      <c r="G28" s="117"/>
      <c r="I28" s="408" t="s">
        <v>129</v>
      </c>
      <c r="J28" s="401"/>
      <c r="K28" s="401"/>
      <c r="L28" s="401"/>
      <c r="M28" s="401"/>
      <c r="N28" s="401"/>
      <c r="O28" s="409"/>
    </row>
    <row r="29" spans="1:15" ht="15" thickBot="1" x14ac:dyDescent="0.4">
      <c r="A29" s="127" t="s">
        <v>30</v>
      </c>
      <c r="B29" s="191"/>
      <c r="C29" s="128"/>
      <c r="D29" s="128" t="s">
        <v>81</v>
      </c>
      <c r="E29" s="129"/>
      <c r="F29" s="128" t="s">
        <v>82</v>
      </c>
      <c r="G29" s="130"/>
      <c r="I29" s="410" t="s">
        <v>83</v>
      </c>
      <c r="J29" s="411"/>
      <c r="K29" s="123" t="s">
        <v>125</v>
      </c>
      <c r="L29" s="123"/>
      <c r="M29" s="124"/>
      <c r="N29" s="125" t="s">
        <v>84</v>
      </c>
      <c r="O29" s="126" t="s">
        <v>122</v>
      </c>
    </row>
    <row r="30" spans="1:15" ht="15" thickBot="1" x14ac:dyDescent="0.4">
      <c r="I30" s="105"/>
      <c r="O30" s="106"/>
    </row>
    <row r="31" spans="1:15" x14ac:dyDescent="0.35">
      <c r="A31" s="405" t="s">
        <v>0</v>
      </c>
      <c r="B31" s="406"/>
      <c r="C31" s="406"/>
      <c r="D31" s="406"/>
      <c r="E31" s="406"/>
      <c r="F31" s="406"/>
      <c r="G31" s="407"/>
      <c r="H31" s="197" t="s">
        <v>128</v>
      </c>
      <c r="I31" s="107" t="s">
        <v>77</v>
      </c>
      <c r="J31" s="178" t="s">
        <v>36</v>
      </c>
      <c r="K31" s="108" t="s">
        <v>85</v>
      </c>
      <c r="L31" s="108" t="s">
        <v>86</v>
      </c>
      <c r="M31" s="108" t="s">
        <v>5</v>
      </c>
      <c r="N31" s="108" t="s">
        <v>87</v>
      </c>
      <c r="O31" s="109" t="s">
        <v>56</v>
      </c>
    </row>
    <row r="32" spans="1:15" x14ac:dyDescent="0.35">
      <c r="A32" s="408"/>
      <c r="B32" s="401"/>
      <c r="C32" s="401"/>
      <c r="D32" s="401"/>
      <c r="E32" s="401"/>
      <c r="F32" s="401"/>
      <c r="G32" s="409"/>
      <c r="I32" s="110">
        <v>1</v>
      </c>
      <c r="J32" s="147"/>
      <c r="K32" s="145"/>
      <c r="L32" s="111"/>
      <c r="M32" s="196"/>
      <c r="N32" s="108"/>
      <c r="O32" s="112"/>
    </row>
    <row r="33" spans="1:15" x14ac:dyDescent="0.35">
      <c r="A33" s="410" t="s">
        <v>83</v>
      </c>
      <c r="B33" s="411"/>
      <c r="C33" s="123" t="s">
        <v>127</v>
      </c>
      <c r="D33" s="123"/>
      <c r="E33" s="124"/>
      <c r="F33" s="125" t="s">
        <v>84</v>
      </c>
      <c r="G33" s="126" t="s">
        <v>118</v>
      </c>
      <c r="I33" s="110">
        <v>2</v>
      </c>
      <c r="J33" s="147"/>
      <c r="K33" s="108"/>
      <c r="L33" s="111"/>
      <c r="M33" s="196"/>
      <c r="N33" s="108"/>
      <c r="O33" s="112"/>
    </row>
    <row r="34" spans="1:15" x14ac:dyDescent="0.35">
      <c r="A34" s="105"/>
      <c r="G34" s="106"/>
      <c r="I34" s="110"/>
      <c r="J34" s="147"/>
      <c r="K34" s="145"/>
      <c r="L34" s="111"/>
      <c r="M34" s="196"/>
      <c r="N34" s="108"/>
      <c r="O34" s="112"/>
    </row>
    <row r="35" spans="1:15" x14ac:dyDescent="0.35">
      <c r="A35" s="107" t="s">
        <v>77</v>
      </c>
      <c r="B35" s="178" t="s">
        <v>36</v>
      </c>
      <c r="C35" s="108" t="s">
        <v>85</v>
      </c>
      <c r="D35" s="108" t="s">
        <v>86</v>
      </c>
      <c r="E35" s="108" t="s">
        <v>5</v>
      </c>
      <c r="F35" s="108" t="s">
        <v>87</v>
      </c>
      <c r="G35" s="109" t="s">
        <v>56</v>
      </c>
      <c r="I35" s="110"/>
      <c r="J35" s="219"/>
      <c r="K35" s="220"/>
      <c r="L35" s="220"/>
      <c r="M35" s="196"/>
      <c r="N35" s="218"/>
      <c r="O35" s="221"/>
    </row>
    <row r="36" spans="1:15" ht="29" x14ac:dyDescent="0.35">
      <c r="A36" s="107">
        <v>1</v>
      </c>
      <c r="B36" s="226">
        <v>46055</v>
      </c>
      <c r="C36" s="145" t="s">
        <v>230</v>
      </c>
      <c r="D36" s="108" t="s">
        <v>135</v>
      </c>
      <c r="E36" s="108" t="s">
        <v>136</v>
      </c>
      <c r="F36" s="108" t="s">
        <v>137</v>
      </c>
      <c r="G36" s="109">
        <v>20</v>
      </c>
      <c r="I36" s="110"/>
      <c r="J36" s="216"/>
      <c r="K36" s="102"/>
      <c r="L36" s="102"/>
      <c r="M36" s="102"/>
      <c r="N36" s="102"/>
      <c r="O36" s="102"/>
    </row>
    <row r="37" spans="1:15" ht="29" x14ac:dyDescent="0.35">
      <c r="A37" s="110">
        <v>2</v>
      </c>
      <c r="B37" s="226">
        <v>46056</v>
      </c>
      <c r="C37" s="145" t="s">
        <v>232</v>
      </c>
      <c r="D37" s="111" t="s">
        <v>135</v>
      </c>
      <c r="E37" s="167" t="s">
        <v>136</v>
      </c>
      <c r="F37" s="108" t="s">
        <v>139</v>
      </c>
      <c r="G37" s="112">
        <v>200</v>
      </c>
      <c r="I37" s="110"/>
      <c r="J37" s="147"/>
      <c r="K37" s="111"/>
      <c r="L37" s="111"/>
      <c r="M37" s="111"/>
      <c r="N37" s="111" t="s">
        <v>23</v>
      </c>
      <c r="O37" s="112">
        <f>SUM(O32:O35)</f>
        <v>0</v>
      </c>
    </row>
    <row r="38" spans="1:15" x14ac:dyDescent="0.35">
      <c r="A38" s="107">
        <v>3</v>
      </c>
      <c r="B38" s="226">
        <v>46056</v>
      </c>
      <c r="C38" s="145" t="s">
        <v>233</v>
      </c>
      <c r="D38" s="111" t="s">
        <v>135</v>
      </c>
      <c r="E38" s="167" t="s">
        <v>136</v>
      </c>
      <c r="F38" s="108" t="s">
        <v>137</v>
      </c>
      <c r="G38" s="112">
        <v>30</v>
      </c>
      <c r="I38" s="105"/>
      <c r="O38" s="106"/>
    </row>
    <row r="39" spans="1:15" ht="29" x14ac:dyDescent="0.35">
      <c r="A39" s="110">
        <v>4</v>
      </c>
      <c r="B39" s="226">
        <v>46058</v>
      </c>
      <c r="C39" s="145" t="s">
        <v>238</v>
      </c>
      <c r="D39" s="111" t="s">
        <v>135</v>
      </c>
      <c r="E39" s="167" t="s">
        <v>136</v>
      </c>
      <c r="F39" s="108" t="s">
        <v>137</v>
      </c>
      <c r="G39" s="112">
        <v>250</v>
      </c>
      <c r="I39" s="105"/>
      <c r="O39" s="106"/>
    </row>
    <row r="40" spans="1:15" ht="29" x14ac:dyDescent="0.35">
      <c r="A40" s="107">
        <v>5</v>
      </c>
      <c r="B40" s="226">
        <v>46058</v>
      </c>
      <c r="C40" s="145" t="s">
        <v>230</v>
      </c>
      <c r="D40" s="111" t="s">
        <v>135</v>
      </c>
      <c r="E40" s="167" t="s">
        <v>136</v>
      </c>
      <c r="F40" s="108" t="s">
        <v>137</v>
      </c>
      <c r="G40" s="112">
        <v>20</v>
      </c>
      <c r="I40" s="105"/>
      <c r="O40" s="106"/>
    </row>
    <row r="41" spans="1:15" ht="29" x14ac:dyDescent="0.35">
      <c r="A41" s="110">
        <v>6</v>
      </c>
      <c r="B41" s="226">
        <v>46062</v>
      </c>
      <c r="C41" s="145" t="s">
        <v>258</v>
      </c>
      <c r="D41" s="111" t="s">
        <v>135</v>
      </c>
      <c r="E41" s="167" t="s">
        <v>136</v>
      </c>
      <c r="F41" s="108" t="s">
        <v>137</v>
      </c>
      <c r="G41" s="112">
        <v>200</v>
      </c>
      <c r="I41" s="105"/>
      <c r="O41" s="106"/>
    </row>
    <row r="42" spans="1:15" ht="29" x14ac:dyDescent="0.35">
      <c r="A42" s="110">
        <v>7</v>
      </c>
      <c r="B42" s="226">
        <v>46063</v>
      </c>
      <c r="C42" s="145" t="s">
        <v>236</v>
      </c>
      <c r="D42" s="111" t="s">
        <v>135</v>
      </c>
      <c r="E42" s="167" t="s">
        <v>136</v>
      </c>
      <c r="F42" s="108" t="s">
        <v>137</v>
      </c>
      <c r="G42" s="112">
        <v>140</v>
      </c>
      <c r="I42" s="105"/>
      <c r="O42" s="106"/>
    </row>
    <row r="43" spans="1:15" x14ac:dyDescent="0.35">
      <c r="A43" s="110"/>
      <c r="B43" s="226"/>
      <c r="C43" s="145"/>
      <c r="D43" s="111" t="s">
        <v>135</v>
      </c>
      <c r="E43" s="167" t="s">
        <v>136</v>
      </c>
      <c r="F43" s="108" t="s">
        <v>137</v>
      </c>
      <c r="G43" s="112">
        <v>20</v>
      </c>
      <c r="I43" s="105"/>
      <c r="O43" s="106"/>
    </row>
    <row r="44" spans="1:15" x14ac:dyDescent="0.35">
      <c r="A44" s="412"/>
      <c r="B44" s="413"/>
      <c r="C44" s="413"/>
      <c r="D44" s="413"/>
      <c r="E44" s="413"/>
      <c r="F44" s="414"/>
      <c r="I44" s="113"/>
      <c r="J44" s="179"/>
      <c r="K44" s="114"/>
      <c r="L44" s="114"/>
      <c r="M44" s="114"/>
      <c r="N44" s="114"/>
      <c r="O44" s="115"/>
    </row>
    <row r="45" spans="1:15" x14ac:dyDescent="0.35">
      <c r="A45" s="412"/>
      <c r="B45" s="413"/>
      <c r="C45" s="413"/>
      <c r="D45" s="413"/>
      <c r="E45" s="414"/>
      <c r="F45" s="111" t="s">
        <v>23</v>
      </c>
      <c r="G45" s="112">
        <f>SUM(G36:G43)</f>
        <v>880</v>
      </c>
      <c r="I45" s="116" t="s">
        <v>78</v>
      </c>
      <c r="J45" s="180"/>
      <c r="K45" s="47"/>
      <c r="L45" s="47" t="s">
        <v>79</v>
      </c>
      <c r="M45" s="47"/>
      <c r="N45" s="47" t="s">
        <v>80</v>
      </c>
      <c r="O45" s="117"/>
    </row>
    <row r="46" spans="1:15" ht="15" thickBot="1" x14ac:dyDescent="0.4">
      <c r="A46" s="105"/>
      <c r="G46" s="106"/>
      <c r="I46" s="127" t="s">
        <v>30</v>
      </c>
      <c r="J46" s="191"/>
      <c r="K46" s="128"/>
      <c r="L46" s="128" t="s">
        <v>81</v>
      </c>
      <c r="M46" s="129"/>
      <c r="N46" s="128" t="s">
        <v>82</v>
      </c>
      <c r="O46" s="130"/>
    </row>
    <row r="47" spans="1:15" x14ac:dyDescent="0.35">
      <c r="A47" s="113"/>
      <c r="B47" s="179"/>
      <c r="D47" s="114"/>
      <c r="E47" s="114"/>
      <c r="F47" s="114"/>
      <c r="G47" s="115"/>
    </row>
    <row r="48" spans="1:15" x14ac:dyDescent="0.35">
      <c r="A48" s="116" t="s">
        <v>78</v>
      </c>
      <c r="B48" s="180"/>
      <c r="C48" s="47"/>
      <c r="D48" s="47" t="s">
        <v>79</v>
      </c>
      <c r="E48" s="47"/>
      <c r="F48" s="47" t="s">
        <v>80</v>
      </c>
      <c r="G48" s="117"/>
    </row>
    <row r="49" spans="1:7" ht="15" thickBot="1" x14ac:dyDescent="0.4">
      <c r="A49" s="127" t="s">
        <v>30</v>
      </c>
      <c r="B49" s="191"/>
      <c r="C49" s="128"/>
      <c r="D49" s="128" t="s">
        <v>81</v>
      </c>
      <c r="E49" s="129"/>
      <c r="F49" s="128" t="s">
        <v>82</v>
      </c>
      <c r="G49" s="130"/>
    </row>
    <row r="50" spans="1:7" ht="15" thickBot="1" x14ac:dyDescent="0.4"/>
    <row r="51" spans="1:7" x14ac:dyDescent="0.35">
      <c r="A51" s="405" t="s">
        <v>0</v>
      </c>
      <c r="B51" s="406"/>
      <c r="C51" s="406"/>
      <c r="D51" s="406"/>
      <c r="E51" s="406"/>
      <c r="F51" s="406"/>
      <c r="G51" s="407"/>
    </row>
    <row r="52" spans="1:7" x14ac:dyDescent="0.35">
      <c r="A52" s="408"/>
      <c r="B52" s="401"/>
      <c r="C52" s="401"/>
      <c r="D52" s="401"/>
      <c r="E52" s="401"/>
      <c r="F52" s="401"/>
      <c r="G52" s="409"/>
    </row>
    <row r="53" spans="1:7" x14ac:dyDescent="0.35">
      <c r="A53" s="410" t="s">
        <v>83</v>
      </c>
      <c r="B53" s="411"/>
      <c r="C53" s="123" t="s">
        <v>257</v>
      </c>
      <c r="D53" s="123"/>
      <c r="E53" s="124"/>
      <c r="F53" s="125" t="s">
        <v>84</v>
      </c>
      <c r="G53" s="126" t="s">
        <v>122</v>
      </c>
    </row>
    <row r="54" spans="1:7" x14ac:dyDescent="0.35">
      <c r="A54" s="105"/>
      <c r="G54" s="106"/>
    </row>
    <row r="55" spans="1:7" x14ac:dyDescent="0.35">
      <c r="A55" s="107" t="s">
        <v>77</v>
      </c>
      <c r="B55" s="178" t="s">
        <v>36</v>
      </c>
      <c r="C55" s="108" t="s">
        <v>85</v>
      </c>
      <c r="D55" s="108" t="s">
        <v>86</v>
      </c>
      <c r="E55" s="108" t="s">
        <v>5</v>
      </c>
      <c r="F55" s="108" t="s">
        <v>87</v>
      </c>
      <c r="G55" s="109" t="s">
        <v>56</v>
      </c>
    </row>
    <row r="56" spans="1:7" ht="29" x14ac:dyDescent="0.35">
      <c r="A56" s="107">
        <v>1</v>
      </c>
      <c r="B56" s="226">
        <v>46056</v>
      </c>
      <c r="C56" s="145" t="s">
        <v>234</v>
      </c>
      <c r="D56" s="111" t="s">
        <v>135</v>
      </c>
      <c r="E56" s="196" t="s">
        <v>136</v>
      </c>
      <c r="F56" s="108" t="s">
        <v>146</v>
      </c>
      <c r="G56" s="111">
        <v>60</v>
      </c>
    </row>
    <row r="57" spans="1:7" ht="29" x14ac:dyDescent="0.35">
      <c r="A57" s="110">
        <v>2</v>
      </c>
      <c r="B57" s="226">
        <v>46056</v>
      </c>
      <c r="C57" s="145" t="s">
        <v>235</v>
      </c>
      <c r="D57" s="111" t="s">
        <v>135</v>
      </c>
      <c r="E57" s="196" t="s">
        <v>136</v>
      </c>
      <c r="F57" s="108" t="s">
        <v>146</v>
      </c>
      <c r="G57" s="111">
        <v>100</v>
      </c>
    </row>
    <row r="58" spans="1:7" ht="29" x14ac:dyDescent="0.35">
      <c r="A58" s="320">
        <v>3</v>
      </c>
      <c r="B58" s="226">
        <v>46061</v>
      </c>
      <c r="C58" s="145" t="s">
        <v>230</v>
      </c>
      <c r="D58" s="111" t="s">
        <v>135</v>
      </c>
      <c r="E58" s="196" t="s">
        <v>136</v>
      </c>
      <c r="F58" s="108" t="s">
        <v>146</v>
      </c>
      <c r="G58" s="111">
        <v>20</v>
      </c>
    </row>
    <row r="59" spans="1:7" ht="29" x14ac:dyDescent="0.35">
      <c r="A59" s="320">
        <v>4</v>
      </c>
      <c r="B59" s="226">
        <v>46063</v>
      </c>
      <c r="C59" s="145" t="s">
        <v>230</v>
      </c>
      <c r="D59" s="111" t="s">
        <v>135</v>
      </c>
      <c r="E59" s="196" t="s">
        <v>136</v>
      </c>
      <c r="F59" s="108" t="s">
        <v>146</v>
      </c>
      <c r="G59" s="111">
        <v>20</v>
      </c>
    </row>
    <row r="60" spans="1:7" x14ac:dyDescent="0.35">
      <c r="A60" s="421"/>
      <c r="B60" s="413"/>
      <c r="C60" s="413"/>
      <c r="D60" s="413"/>
      <c r="E60" s="413"/>
      <c r="F60" s="414"/>
      <c r="G60" s="102"/>
    </row>
    <row r="61" spans="1:7" x14ac:dyDescent="0.35">
      <c r="A61" s="418"/>
      <c r="B61" s="419"/>
      <c r="C61" s="419"/>
      <c r="D61" s="419"/>
      <c r="E61" s="420"/>
      <c r="F61" s="214" t="s">
        <v>23</v>
      </c>
      <c r="G61" s="215">
        <f>SUM(G56:G59)</f>
        <v>200</v>
      </c>
    </row>
    <row r="62" spans="1:7" x14ac:dyDescent="0.35">
      <c r="A62" s="105"/>
      <c r="G62" s="106"/>
    </row>
    <row r="63" spans="1:7" x14ac:dyDescent="0.35">
      <c r="A63" s="113"/>
      <c r="B63" s="179"/>
      <c r="C63" s="114"/>
      <c r="D63" s="114"/>
      <c r="E63" s="114"/>
      <c r="F63" s="114"/>
      <c r="G63" s="115"/>
    </row>
    <row r="64" spans="1:7" x14ac:dyDescent="0.35">
      <c r="A64" s="116" t="s">
        <v>78</v>
      </c>
      <c r="B64" s="180"/>
      <c r="C64" s="47"/>
      <c r="D64" s="47" t="s">
        <v>79</v>
      </c>
      <c r="E64" s="47"/>
      <c r="F64" s="47" t="s">
        <v>80</v>
      </c>
      <c r="G64" s="117"/>
    </row>
    <row r="65" spans="1:7" ht="15" thickBot="1" x14ac:dyDescent="0.4">
      <c r="A65" s="127" t="s">
        <v>30</v>
      </c>
      <c r="B65" s="191"/>
      <c r="C65" s="128"/>
      <c r="D65" s="128" t="s">
        <v>81</v>
      </c>
      <c r="E65" s="129"/>
      <c r="F65" s="128" t="s">
        <v>82</v>
      </c>
      <c r="G65" s="130"/>
    </row>
    <row r="66" spans="1:7" ht="15" thickBot="1" x14ac:dyDescent="0.4"/>
    <row r="67" spans="1:7" x14ac:dyDescent="0.35">
      <c r="A67" s="405" t="s">
        <v>0</v>
      </c>
      <c r="B67" s="406"/>
      <c r="C67" s="406"/>
      <c r="D67" s="406"/>
      <c r="E67" s="406"/>
      <c r="F67" s="406"/>
      <c r="G67" s="407"/>
    </row>
    <row r="68" spans="1:7" x14ac:dyDescent="0.35">
      <c r="A68" s="408" t="s">
        <v>53</v>
      </c>
      <c r="B68" s="401"/>
      <c r="C68" s="401"/>
      <c r="D68" s="401"/>
      <c r="E68" s="401"/>
      <c r="F68" s="401"/>
      <c r="G68" s="409"/>
    </row>
    <row r="69" spans="1:7" x14ac:dyDescent="0.35">
      <c r="A69" s="410" t="s">
        <v>83</v>
      </c>
      <c r="B69" s="411"/>
      <c r="C69" s="123" t="s">
        <v>127</v>
      </c>
      <c r="D69" s="123"/>
      <c r="E69" s="124"/>
      <c r="F69" s="125" t="s">
        <v>84</v>
      </c>
      <c r="G69" s="126" t="s">
        <v>118</v>
      </c>
    </row>
    <row r="70" spans="1:7" x14ac:dyDescent="0.35">
      <c r="A70" s="105"/>
      <c r="G70" s="106"/>
    </row>
    <row r="71" spans="1:7" x14ac:dyDescent="0.35">
      <c r="A71" s="107" t="s">
        <v>77</v>
      </c>
      <c r="B71" s="178" t="s">
        <v>36</v>
      </c>
      <c r="C71" s="108" t="s">
        <v>85</v>
      </c>
      <c r="D71" s="108" t="s">
        <v>86</v>
      </c>
      <c r="E71" s="108" t="s">
        <v>5</v>
      </c>
      <c r="F71" s="108" t="s">
        <v>87</v>
      </c>
      <c r="G71" s="109" t="s">
        <v>56</v>
      </c>
    </row>
    <row r="72" spans="1:7" ht="15.5" x14ac:dyDescent="0.35">
      <c r="A72" s="107">
        <v>1</v>
      </c>
      <c r="B72" s="31">
        <v>46060</v>
      </c>
      <c r="C72" s="145" t="s">
        <v>135</v>
      </c>
      <c r="D72" s="111" t="s">
        <v>142</v>
      </c>
      <c r="E72" s="167" t="s">
        <v>147</v>
      </c>
      <c r="F72" s="108" t="s">
        <v>138</v>
      </c>
      <c r="G72" s="112">
        <v>40</v>
      </c>
    </row>
    <row r="73" spans="1:7" ht="15.5" x14ac:dyDescent="0.35">
      <c r="A73" s="110">
        <v>2</v>
      </c>
      <c r="B73" s="31">
        <v>46060</v>
      </c>
      <c r="C73" s="111" t="s">
        <v>142</v>
      </c>
      <c r="D73" s="213" t="s">
        <v>135</v>
      </c>
      <c r="E73" s="102" t="s">
        <v>147</v>
      </c>
      <c r="F73" s="213" t="s">
        <v>138</v>
      </c>
      <c r="G73" s="213">
        <v>100</v>
      </c>
    </row>
    <row r="74" spans="1:7" x14ac:dyDescent="0.35">
      <c r="A74" s="110"/>
      <c r="B74" s="147"/>
      <c r="C74" s="111"/>
      <c r="D74" s="111"/>
      <c r="E74" s="111"/>
      <c r="F74" s="111" t="s">
        <v>23</v>
      </c>
      <c r="G74" s="112">
        <f>SUM(G72:G73)</f>
        <v>140</v>
      </c>
    </row>
    <row r="75" spans="1:7" x14ac:dyDescent="0.35">
      <c r="A75" s="105"/>
      <c r="G75" s="106"/>
    </row>
    <row r="76" spans="1:7" x14ac:dyDescent="0.35">
      <c r="A76" s="113"/>
      <c r="B76" s="179"/>
      <c r="C76" s="114"/>
      <c r="D76" s="114"/>
      <c r="E76" s="114"/>
      <c r="F76" s="114"/>
      <c r="G76" s="115"/>
    </row>
    <row r="77" spans="1:7" x14ac:dyDescent="0.35">
      <c r="A77" s="116" t="s">
        <v>78</v>
      </c>
      <c r="B77" s="180"/>
      <c r="C77" s="47"/>
      <c r="D77" s="47" t="s">
        <v>79</v>
      </c>
      <c r="E77" s="47"/>
      <c r="F77" s="47" t="s">
        <v>80</v>
      </c>
      <c r="G77" s="117"/>
    </row>
    <row r="78" spans="1:7" ht="15" thickBot="1" x14ac:dyDescent="0.4">
      <c r="A78" s="127" t="s">
        <v>30</v>
      </c>
      <c r="B78" s="191"/>
      <c r="C78" s="128"/>
      <c r="D78" s="128" t="s">
        <v>81</v>
      </c>
      <c r="E78" s="129"/>
      <c r="F78" s="128" t="s">
        <v>82</v>
      </c>
      <c r="G78" s="130"/>
    </row>
    <row r="79" spans="1:7" ht="15" thickBot="1" x14ac:dyDescent="0.4"/>
    <row r="80" spans="1:7" x14ac:dyDescent="0.35">
      <c r="A80" s="405" t="s">
        <v>0</v>
      </c>
      <c r="B80" s="406"/>
      <c r="C80" s="406"/>
      <c r="D80" s="406"/>
      <c r="E80" s="406"/>
      <c r="F80" s="406"/>
      <c r="G80" s="407"/>
    </row>
    <row r="81" spans="1:7" x14ac:dyDescent="0.35">
      <c r="A81" s="408" t="s">
        <v>129</v>
      </c>
      <c r="B81" s="401"/>
      <c r="C81" s="401"/>
      <c r="D81" s="401"/>
      <c r="E81" s="401"/>
      <c r="F81" s="401"/>
      <c r="G81" s="409"/>
    </row>
    <row r="82" spans="1:7" x14ac:dyDescent="0.35">
      <c r="A82" s="410" t="s">
        <v>83</v>
      </c>
      <c r="B82" s="411"/>
      <c r="C82" s="123" t="s">
        <v>151</v>
      </c>
      <c r="D82" s="123"/>
      <c r="E82" s="124"/>
      <c r="F82" s="125" t="s">
        <v>84</v>
      </c>
      <c r="G82" s="126" t="s">
        <v>152</v>
      </c>
    </row>
    <row r="83" spans="1:7" x14ac:dyDescent="0.35">
      <c r="A83" s="105"/>
      <c r="G83" s="106"/>
    </row>
    <row r="84" spans="1:7" x14ac:dyDescent="0.35">
      <c r="A84" s="107" t="s">
        <v>77</v>
      </c>
      <c r="B84" s="178" t="s">
        <v>36</v>
      </c>
      <c r="C84" s="108" t="s">
        <v>85</v>
      </c>
      <c r="D84" s="108" t="s">
        <v>86</v>
      </c>
      <c r="E84" s="108" t="s">
        <v>5</v>
      </c>
      <c r="F84" s="108" t="s">
        <v>87</v>
      </c>
      <c r="G84" s="109" t="s">
        <v>56</v>
      </c>
    </row>
    <row r="85" spans="1:7" x14ac:dyDescent="0.35">
      <c r="A85" s="110">
        <v>1</v>
      </c>
      <c r="B85" s="147">
        <v>46055</v>
      </c>
      <c r="C85" s="145" t="s">
        <v>264</v>
      </c>
      <c r="D85" s="111" t="s">
        <v>142</v>
      </c>
      <c r="E85" s="196" t="s">
        <v>135</v>
      </c>
      <c r="F85" s="108" t="s">
        <v>138</v>
      </c>
      <c r="G85" s="112">
        <v>250</v>
      </c>
    </row>
    <row r="86" spans="1:7" x14ac:dyDescent="0.35">
      <c r="A86" s="110">
        <v>2</v>
      </c>
      <c r="B86" s="147">
        <v>46055</v>
      </c>
      <c r="C86" s="111" t="s">
        <v>142</v>
      </c>
      <c r="D86" s="111" t="s">
        <v>135</v>
      </c>
      <c r="E86" s="196" t="s">
        <v>135</v>
      </c>
      <c r="F86" s="108" t="s">
        <v>138</v>
      </c>
      <c r="G86" s="112">
        <v>50</v>
      </c>
    </row>
    <row r="87" spans="1:7" x14ac:dyDescent="0.35">
      <c r="A87" s="110">
        <v>3</v>
      </c>
      <c r="B87" s="147">
        <v>46056</v>
      </c>
      <c r="C87" s="111" t="s">
        <v>135</v>
      </c>
      <c r="D87" s="111" t="s">
        <v>142</v>
      </c>
      <c r="E87" s="196" t="s">
        <v>135</v>
      </c>
      <c r="F87" s="108" t="s">
        <v>138</v>
      </c>
      <c r="G87" s="112">
        <v>60</v>
      </c>
    </row>
    <row r="88" spans="1:7" x14ac:dyDescent="0.35">
      <c r="A88" s="110">
        <v>4</v>
      </c>
      <c r="B88" s="219">
        <v>46058</v>
      </c>
      <c r="C88" s="220" t="s">
        <v>135</v>
      </c>
      <c r="D88" s="220" t="s">
        <v>142</v>
      </c>
      <c r="E88" s="196" t="s">
        <v>135</v>
      </c>
      <c r="F88" s="218" t="s">
        <v>138</v>
      </c>
      <c r="G88" s="112">
        <v>50</v>
      </c>
    </row>
    <row r="89" spans="1:7" x14ac:dyDescent="0.35">
      <c r="A89" s="110">
        <v>5</v>
      </c>
      <c r="B89" s="147">
        <v>46061</v>
      </c>
      <c r="C89" s="220" t="s">
        <v>135</v>
      </c>
      <c r="D89" s="220" t="s">
        <v>142</v>
      </c>
      <c r="E89" s="196" t="s">
        <v>135</v>
      </c>
      <c r="F89" s="218" t="s">
        <v>138</v>
      </c>
      <c r="G89" s="111">
        <v>50</v>
      </c>
    </row>
    <row r="90" spans="1:7" x14ac:dyDescent="0.35">
      <c r="A90" s="110">
        <v>6</v>
      </c>
      <c r="B90" s="147">
        <v>46063</v>
      </c>
      <c r="C90" s="111" t="s">
        <v>135</v>
      </c>
      <c r="D90" s="111" t="s">
        <v>142</v>
      </c>
      <c r="E90" s="196" t="s">
        <v>135</v>
      </c>
      <c r="F90" s="108" t="s">
        <v>138</v>
      </c>
      <c r="G90" s="111">
        <v>40</v>
      </c>
    </row>
    <row r="91" spans="1:7" x14ac:dyDescent="0.35">
      <c r="A91" s="110">
        <v>7</v>
      </c>
      <c r="B91" s="147">
        <v>46063</v>
      </c>
      <c r="C91" s="111" t="s">
        <v>142</v>
      </c>
      <c r="D91" s="111" t="s">
        <v>135</v>
      </c>
      <c r="E91" s="196" t="s">
        <v>135</v>
      </c>
      <c r="F91" s="108" t="s">
        <v>138</v>
      </c>
      <c r="G91" s="111">
        <v>100</v>
      </c>
    </row>
    <row r="92" spans="1:7" x14ac:dyDescent="0.35">
      <c r="A92" s="110">
        <v>8</v>
      </c>
      <c r="B92" s="147">
        <v>46063</v>
      </c>
      <c r="C92" s="111" t="s">
        <v>135</v>
      </c>
      <c r="D92" s="145" t="s">
        <v>264</v>
      </c>
      <c r="E92" s="196" t="s">
        <v>135</v>
      </c>
      <c r="F92" s="108" t="s">
        <v>138</v>
      </c>
      <c r="G92" s="111">
        <v>130</v>
      </c>
    </row>
    <row r="93" spans="1:7" x14ac:dyDescent="0.35">
      <c r="A93" s="110">
        <v>9</v>
      </c>
      <c r="B93" s="147">
        <v>46063</v>
      </c>
      <c r="C93" s="145" t="s">
        <v>264</v>
      </c>
      <c r="D93" s="111" t="s">
        <v>135</v>
      </c>
      <c r="E93" s="167" t="s">
        <v>135</v>
      </c>
      <c r="F93" s="108" t="s">
        <v>138</v>
      </c>
      <c r="G93" s="111">
        <v>20</v>
      </c>
    </row>
    <row r="94" spans="1:7" x14ac:dyDescent="0.35">
      <c r="A94" s="415"/>
      <c r="B94" s="416"/>
      <c r="C94" s="416"/>
      <c r="D94" s="416"/>
      <c r="E94" s="416"/>
      <c r="F94" s="417"/>
      <c r="G94" s="102"/>
    </row>
    <row r="95" spans="1:7" x14ac:dyDescent="0.35">
      <c r="A95" s="105"/>
      <c r="C95" s="184"/>
      <c r="D95" s="114"/>
      <c r="E95" s="165"/>
      <c r="F95" s="197" t="s">
        <v>144</v>
      </c>
      <c r="G95" s="117">
        <f>SUM(G85:G93)</f>
        <v>750</v>
      </c>
    </row>
    <row r="96" spans="1:7" x14ac:dyDescent="0.35">
      <c r="A96" s="105"/>
      <c r="C96" s="184"/>
      <c r="D96" s="114"/>
      <c r="E96" s="165"/>
      <c r="G96" s="106"/>
    </row>
    <row r="97" spans="1:7" x14ac:dyDescent="0.35">
      <c r="A97" s="105"/>
      <c r="C97" s="184"/>
      <c r="D97" s="114"/>
      <c r="E97" s="165"/>
      <c r="G97" s="106"/>
    </row>
    <row r="98" spans="1:7" x14ac:dyDescent="0.35">
      <c r="A98" s="105"/>
      <c r="C98" s="184"/>
      <c r="D98" s="114"/>
      <c r="E98" s="165"/>
      <c r="G98" s="106"/>
    </row>
    <row r="99" spans="1:7" x14ac:dyDescent="0.35">
      <c r="A99" s="113"/>
      <c r="B99" s="179"/>
      <c r="C99" s="114"/>
      <c r="D99" s="114"/>
      <c r="E99" s="114"/>
      <c r="F99" s="114"/>
      <c r="G99" s="115"/>
    </row>
    <row r="100" spans="1:7" x14ac:dyDescent="0.35">
      <c r="A100" s="116" t="s">
        <v>78</v>
      </c>
      <c r="B100" s="180"/>
      <c r="C100" s="47"/>
      <c r="D100" s="47" t="s">
        <v>79</v>
      </c>
      <c r="E100" s="47"/>
      <c r="F100" s="47" t="s">
        <v>80</v>
      </c>
      <c r="G100" s="117"/>
    </row>
    <row r="101" spans="1:7" ht="15" thickBot="1" x14ac:dyDescent="0.4">
      <c r="A101" s="127" t="s">
        <v>30</v>
      </c>
      <c r="B101" s="191"/>
      <c r="C101" s="128"/>
      <c r="D101" s="128" t="s">
        <v>81</v>
      </c>
      <c r="E101" s="129"/>
      <c r="F101" s="128" t="s">
        <v>82</v>
      </c>
      <c r="G101" s="130"/>
    </row>
    <row r="103" spans="1:7" ht="15" thickBot="1" x14ac:dyDescent="0.4"/>
    <row r="104" spans="1:7" x14ac:dyDescent="0.35">
      <c r="A104" s="405" t="s">
        <v>0</v>
      </c>
      <c r="B104" s="406"/>
      <c r="C104" s="406"/>
      <c r="D104" s="406"/>
      <c r="E104" s="406"/>
      <c r="F104" s="406"/>
      <c r="G104" s="407"/>
    </row>
    <row r="105" spans="1:7" x14ac:dyDescent="0.35">
      <c r="A105" s="408" t="s">
        <v>162</v>
      </c>
      <c r="B105" s="401"/>
      <c r="C105" s="401"/>
      <c r="D105" s="401"/>
      <c r="E105" s="401"/>
      <c r="F105" s="401"/>
      <c r="G105" s="409"/>
    </row>
    <row r="106" spans="1:7" x14ac:dyDescent="0.35">
      <c r="A106" s="410" t="s">
        <v>83</v>
      </c>
      <c r="B106" s="411"/>
      <c r="C106" s="123" t="s">
        <v>127</v>
      </c>
      <c r="D106" s="123"/>
      <c r="E106" s="124"/>
      <c r="F106" s="125" t="s">
        <v>84</v>
      </c>
      <c r="G106" s="126" t="s">
        <v>118</v>
      </c>
    </row>
    <row r="107" spans="1:7" x14ac:dyDescent="0.35">
      <c r="A107" s="105"/>
      <c r="G107" s="106"/>
    </row>
    <row r="108" spans="1:7" x14ac:dyDescent="0.35">
      <c r="A108" s="107" t="s">
        <v>77</v>
      </c>
      <c r="B108" s="178" t="s">
        <v>36</v>
      </c>
      <c r="C108" s="108" t="s">
        <v>85</v>
      </c>
      <c r="D108" s="108" t="s">
        <v>86</v>
      </c>
      <c r="E108" s="108" t="s">
        <v>5</v>
      </c>
      <c r="F108" s="108" t="s">
        <v>87</v>
      </c>
      <c r="G108" s="109" t="s">
        <v>56</v>
      </c>
    </row>
    <row r="109" spans="1:7" ht="15.5" x14ac:dyDescent="0.35">
      <c r="A109" s="107">
        <v>1</v>
      </c>
      <c r="B109" s="31">
        <v>46055</v>
      </c>
      <c r="C109" s="145" t="s">
        <v>135</v>
      </c>
      <c r="D109" s="111" t="s">
        <v>142</v>
      </c>
      <c r="E109" s="167" t="s">
        <v>147</v>
      </c>
      <c r="F109" s="108" t="s">
        <v>138</v>
      </c>
      <c r="G109" s="112">
        <v>180</v>
      </c>
    </row>
    <row r="110" spans="1:7" ht="15.5" x14ac:dyDescent="0.35">
      <c r="A110" s="110">
        <v>2</v>
      </c>
      <c r="B110" s="31">
        <v>46055</v>
      </c>
      <c r="C110" s="111" t="s">
        <v>142</v>
      </c>
      <c r="D110" s="213" t="s">
        <v>135</v>
      </c>
      <c r="E110" s="102" t="s">
        <v>147</v>
      </c>
      <c r="F110" s="213" t="s">
        <v>138</v>
      </c>
      <c r="G110" s="213">
        <v>60</v>
      </c>
    </row>
    <row r="111" spans="1:7" x14ac:dyDescent="0.35">
      <c r="A111" s="110"/>
      <c r="B111" s="147"/>
      <c r="C111" s="111"/>
      <c r="D111" s="111"/>
      <c r="E111" s="111"/>
      <c r="F111" s="111" t="s">
        <v>23</v>
      </c>
      <c r="G111" s="112">
        <f>SUM(G109:G110)</f>
        <v>240</v>
      </c>
    </row>
    <row r="112" spans="1:7" x14ac:dyDescent="0.35">
      <c r="A112" s="105"/>
      <c r="G112" s="106"/>
    </row>
    <row r="113" spans="1:7" x14ac:dyDescent="0.35">
      <c r="A113" s="113"/>
      <c r="B113" s="179"/>
      <c r="C113" s="114"/>
      <c r="D113" s="114"/>
      <c r="E113" s="114"/>
      <c r="F113" s="114"/>
      <c r="G113" s="115"/>
    </row>
    <row r="114" spans="1:7" x14ac:dyDescent="0.35">
      <c r="A114" s="116" t="s">
        <v>78</v>
      </c>
      <c r="B114" s="180"/>
      <c r="C114" s="47"/>
      <c r="D114" s="47" t="s">
        <v>79</v>
      </c>
      <c r="E114" s="47"/>
      <c r="F114" s="47" t="s">
        <v>80</v>
      </c>
      <c r="G114" s="117"/>
    </row>
    <row r="115" spans="1:7" ht="15" thickBot="1" x14ac:dyDescent="0.4">
      <c r="A115" s="127" t="s">
        <v>30</v>
      </c>
      <c r="B115" s="191"/>
      <c r="C115" s="128"/>
      <c r="D115" s="128" t="s">
        <v>81</v>
      </c>
      <c r="E115" s="129"/>
      <c r="F115" s="128" t="s">
        <v>82</v>
      </c>
      <c r="G115" s="130"/>
    </row>
  </sheetData>
  <mergeCells count="38">
    <mergeCell ref="A17:B17"/>
    <mergeCell ref="A16:G16"/>
    <mergeCell ref="A44:F44"/>
    <mergeCell ref="A24:F24"/>
    <mergeCell ref="I20:M20"/>
    <mergeCell ref="I27:O27"/>
    <mergeCell ref="I28:O28"/>
    <mergeCell ref="I29:J29"/>
    <mergeCell ref="A25:E26"/>
    <mergeCell ref="A33:B33"/>
    <mergeCell ref="A32:G32"/>
    <mergeCell ref="A31:G31"/>
    <mergeCell ref="I14:J14"/>
    <mergeCell ref="I1:O1"/>
    <mergeCell ref="I2:O2"/>
    <mergeCell ref="I3:J3"/>
    <mergeCell ref="A15:G15"/>
    <mergeCell ref="I12:O12"/>
    <mergeCell ref="I13:O13"/>
    <mergeCell ref="A1:G1"/>
    <mergeCell ref="A2:G2"/>
    <mergeCell ref="A3:B3"/>
    <mergeCell ref="A104:G104"/>
    <mergeCell ref="A105:G105"/>
    <mergeCell ref="A106:B106"/>
    <mergeCell ref="A45:E45"/>
    <mergeCell ref="A94:F94"/>
    <mergeCell ref="A82:B82"/>
    <mergeCell ref="A81:G81"/>
    <mergeCell ref="A51:G51"/>
    <mergeCell ref="A52:G52"/>
    <mergeCell ref="A53:B53"/>
    <mergeCell ref="A61:E61"/>
    <mergeCell ref="A80:G80"/>
    <mergeCell ref="A69:B69"/>
    <mergeCell ref="A68:G68"/>
    <mergeCell ref="A67:G67"/>
    <mergeCell ref="A60:F60"/>
  </mergeCells>
  <pageMargins left="0.7" right="0.7" top="0.75" bottom="0.75" header="0.3" footer="0.3"/>
  <pageSetup scale="3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zoomScaleNormal="100"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O6" sqref="O6"/>
    </sheetView>
  </sheetViews>
  <sheetFormatPr defaultRowHeight="14.5" x14ac:dyDescent="0.35"/>
  <cols>
    <col min="1" max="1" width="9.08984375" bestFit="1" customWidth="1"/>
    <col min="3" max="3" width="11.1796875" style="47" customWidth="1"/>
    <col min="8" max="8" width="11.453125" customWidth="1"/>
  </cols>
  <sheetData>
    <row r="1" spans="1:12" x14ac:dyDescent="0.35">
      <c r="A1" s="396" t="s">
        <v>52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</row>
    <row r="2" spans="1:12" x14ac:dyDescent="0.35">
      <c r="A2" s="25"/>
      <c r="B2" s="26"/>
      <c r="C2" s="24"/>
      <c r="D2" s="26"/>
      <c r="E2" s="27"/>
      <c r="F2" s="27"/>
      <c r="G2" s="397" t="s">
        <v>35</v>
      </c>
      <c r="H2" s="398"/>
      <c r="I2" s="398"/>
      <c r="J2" s="398"/>
      <c r="K2" s="399"/>
      <c r="L2" s="24"/>
    </row>
    <row r="3" spans="1:12" ht="21" x14ac:dyDescent="0.35">
      <c r="A3" s="141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35">
      <c r="A4" s="29"/>
      <c r="B4" s="30"/>
      <c r="C4" s="30"/>
      <c r="D4" s="30">
        <f>SUM(D5:D100)</f>
        <v>170</v>
      </c>
      <c r="E4" s="30">
        <f t="shared" ref="E4:F4" si="0">SUM(E5:E100)</f>
        <v>0</v>
      </c>
      <c r="F4" s="30">
        <f t="shared" si="0"/>
        <v>1650</v>
      </c>
      <c r="G4" s="30"/>
      <c r="H4" s="30">
        <f>SUM(H5:H100)</f>
        <v>240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1890</v>
      </c>
    </row>
    <row r="5" spans="1:12" ht="30" customHeight="1" x14ac:dyDescent="0.35">
      <c r="A5" s="31">
        <v>46055</v>
      </c>
      <c r="B5" s="32">
        <v>11014</v>
      </c>
      <c r="C5" s="33" t="s">
        <v>180</v>
      </c>
      <c r="D5" s="33">
        <v>120</v>
      </c>
      <c r="E5" s="33"/>
      <c r="F5" s="33">
        <v>1200</v>
      </c>
      <c r="G5" s="427" t="s">
        <v>179</v>
      </c>
      <c r="H5" s="429">
        <v>240</v>
      </c>
      <c r="I5" s="34"/>
      <c r="J5" s="34"/>
      <c r="K5" s="34"/>
      <c r="L5" s="35"/>
    </row>
    <row r="6" spans="1:12" ht="26" x14ac:dyDescent="0.35">
      <c r="A6" s="31">
        <v>46055</v>
      </c>
      <c r="B6" s="32">
        <v>11019</v>
      </c>
      <c r="C6" s="33" t="s">
        <v>181</v>
      </c>
      <c r="D6" s="33">
        <v>50</v>
      </c>
      <c r="E6" s="33"/>
      <c r="F6" s="33">
        <v>450</v>
      </c>
      <c r="G6" s="428"/>
      <c r="H6" s="430"/>
      <c r="I6" s="34"/>
      <c r="J6" s="34"/>
      <c r="K6" s="34"/>
      <c r="L6" s="35"/>
    </row>
    <row r="7" spans="1:12" ht="15.5" x14ac:dyDescent="0.35">
      <c r="A7" s="31"/>
      <c r="B7" s="32"/>
      <c r="C7" s="33"/>
      <c r="D7" s="33"/>
      <c r="E7" s="33"/>
      <c r="F7" s="33"/>
      <c r="G7" s="32"/>
      <c r="H7" s="34"/>
      <c r="I7" s="34"/>
      <c r="J7" s="34"/>
      <c r="K7" s="34"/>
      <c r="L7" s="35"/>
    </row>
    <row r="8" spans="1:12" ht="15.5" x14ac:dyDescent="0.35">
      <c r="A8" s="31"/>
      <c r="B8" s="32"/>
      <c r="C8" s="33"/>
      <c r="D8" s="33"/>
      <c r="E8" s="33"/>
      <c r="F8" s="33"/>
      <c r="G8" s="32"/>
      <c r="H8" s="34"/>
      <c r="I8" s="34"/>
      <c r="J8" s="34"/>
      <c r="K8" s="34"/>
      <c r="L8" s="35"/>
    </row>
    <row r="9" spans="1:12" ht="15.5" x14ac:dyDescent="0.35">
      <c r="A9" s="31"/>
      <c r="B9" s="32"/>
      <c r="C9" s="33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3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3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3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3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3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3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3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3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3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3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3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3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3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3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3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3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3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3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3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3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3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3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3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3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3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3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3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3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3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3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3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3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3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3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3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3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3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3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3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3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3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3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3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3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3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3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3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3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3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3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3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3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3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3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3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3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3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3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3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3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3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3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3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3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3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3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3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3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3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3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3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5" x14ac:dyDescent="0.35">
      <c r="A81" s="31"/>
      <c r="B81" s="32"/>
      <c r="C81" s="33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3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3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3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3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3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3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3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3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3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3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3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3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3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3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3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3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3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3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3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3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3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3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3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3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3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3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3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3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3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3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3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5" x14ac:dyDescent="0.35">
      <c r="A113" s="31"/>
      <c r="B113" s="32"/>
      <c r="C113" s="33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5" x14ac:dyDescent="0.35">
      <c r="A114" s="31"/>
      <c r="B114" s="32"/>
      <c r="C114" s="33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3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3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3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3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3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3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3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5" x14ac:dyDescent="0.35">
      <c r="A122" s="31"/>
      <c r="B122" s="32"/>
      <c r="C122" s="33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5" x14ac:dyDescent="0.35">
      <c r="A123" s="31"/>
      <c r="B123" s="32"/>
      <c r="C123" s="33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3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3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3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3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3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3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5" x14ac:dyDescent="0.35">
      <c r="A130" s="31"/>
      <c r="B130" s="32"/>
      <c r="C130" s="33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5" x14ac:dyDescent="0.35">
      <c r="A131" s="31"/>
      <c r="B131" s="32"/>
      <c r="C131" s="33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5" x14ac:dyDescent="0.35">
      <c r="A132" s="31"/>
      <c r="B132" s="32"/>
      <c r="C132" s="33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5" x14ac:dyDescent="0.35">
      <c r="A133" s="31"/>
      <c r="B133" s="32"/>
      <c r="C133" s="33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3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3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3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5" x14ac:dyDescent="0.35">
      <c r="A137" s="31"/>
      <c r="B137" s="32"/>
      <c r="C137" s="33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5" x14ac:dyDescent="0.35">
      <c r="A138" s="31"/>
      <c r="B138" s="32"/>
      <c r="C138" s="33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3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3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3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5" x14ac:dyDescent="0.35">
      <c r="A142" s="31"/>
      <c r="B142" s="32"/>
      <c r="C142" s="33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3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3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3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3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3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3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3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3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5" x14ac:dyDescent="0.35">
      <c r="A151" s="31"/>
      <c r="B151" s="32"/>
      <c r="C151" s="33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3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3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3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3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3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3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3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3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3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3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3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3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3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3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3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3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3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3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4">
    <mergeCell ref="A1:L1"/>
    <mergeCell ref="G2:K2"/>
    <mergeCell ref="G5:G6"/>
    <mergeCell ref="H5:H6"/>
  </mergeCells>
  <pageMargins left="0.7" right="0.7" top="0.75" bottom="0.75" header="0.3" footer="0.3"/>
  <pageSetup scale="8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1"/>
  <sheetViews>
    <sheetView zoomScale="81" zoomScaleNormal="81" workbookViewId="0">
      <pane xSplit="12" ySplit="4" topLeftCell="M12" activePane="bottomRight" state="frozen"/>
      <selection activeCell="M5" sqref="M5"/>
      <selection pane="topRight" activeCell="M5" sqref="M5"/>
      <selection pane="bottomLeft" activeCell="M5" sqref="M5"/>
      <selection pane="bottomRight" sqref="A1:L8"/>
    </sheetView>
  </sheetViews>
  <sheetFormatPr defaultRowHeight="14.5" x14ac:dyDescent="0.35"/>
  <cols>
    <col min="1" max="1" width="20.26953125" customWidth="1"/>
    <col min="2" max="2" width="17.26953125" style="47" customWidth="1"/>
    <col min="3" max="3" width="19.26953125" bestFit="1" customWidth="1"/>
    <col min="4" max="4" width="10.453125" customWidth="1"/>
    <col min="5" max="5" width="11.6328125" customWidth="1"/>
    <col min="6" max="6" width="11.1796875" customWidth="1"/>
    <col min="7" max="7" width="12.54296875" customWidth="1"/>
    <col min="8" max="8" width="13.453125" customWidth="1"/>
  </cols>
  <sheetData>
    <row r="1" spans="1:12" x14ac:dyDescent="0.35">
      <c r="A1" s="396" t="s">
        <v>53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</row>
    <row r="2" spans="1:12" ht="17.5" x14ac:dyDescent="0.35">
      <c r="A2" s="350"/>
      <c r="B2" s="351"/>
      <c r="C2" s="352"/>
      <c r="D2" s="352"/>
      <c r="E2" s="353"/>
      <c r="F2" s="353"/>
      <c r="G2" s="431" t="s">
        <v>35</v>
      </c>
      <c r="H2" s="432"/>
      <c r="I2" s="432"/>
      <c r="J2" s="432"/>
      <c r="K2" s="433"/>
      <c r="L2" s="351"/>
    </row>
    <row r="3" spans="1:12" ht="52.5" x14ac:dyDescent="0.35">
      <c r="A3" s="354" t="s">
        <v>36</v>
      </c>
      <c r="B3" s="355" t="s">
        <v>115</v>
      </c>
      <c r="C3" s="355" t="s">
        <v>38</v>
      </c>
      <c r="D3" s="355" t="s">
        <v>39</v>
      </c>
      <c r="E3" s="355" t="s">
        <v>48</v>
      </c>
      <c r="F3" s="355" t="s">
        <v>49</v>
      </c>
      <c r="G3" s="355" t="s">
        <v>43</v>
      </c>
      <c r="H3" s="355" t="s">
        <v>50</v>
      </c>
      <c r="I3" s="355" t="s">
        <v>45</v>
      </c>
      <c r="J3" s="355" t="s">
        <v>46</v>
      </c>
      <c r="K3" s="355" t="s">
        <v>47</v>
      </c>
      <c r="L3" s="355" t="s">
        <v>23</v>
      </c>
    </row>
    <row r="4" spans="1:12" ht="17.5" x14ac:dyDescent="0.35">
      <c r="A4" s="356"/>
      <c r="B4" s="357"/>
      <c r="C4" s="357"/>
      <c r="D4" s="357">
        <f>SUM(D5:D102)</f>
        <v>8160</v>
      </c>
      <c r="E4" s="357">
        <f>SUM(E5:E102)</f>
        <v>850</v>
      </c>
      <c r="F4" s="357">
        <f>SUM(F5:F102)</f>
        <v>100</v>
      </c>
      <c r="G4" s="357"/>
      <c r="H4" s="357">
        <f>SUM(H5:H102)</f>
        <v>40</v>
      </c>
      <c r="I4" s="357">
        <f>SUM(I6:I102)</f>
        <v>0</v>
      </c>
      <c r="J4" s="357">
        <f>SUM(J5:J102)</f>
        <v>0</v>
      </c>
      <c r="K4" s="357">
        <f>SUM(K6:K102)</f>
        <v>0</v>
      </c>
      <c r="L4" s="357">
        <f>SUM(E4,F4,H4,I4,J4,K4)</f>
        <v>990</v>
      </c>
    </row>
    <row r="5" spans="1:12" s="248" customFormat="1" ht="26.25" customHeight="1" x14ac:dyDescent="0.35">
      <c r="A5" s="358">
        <v>46055</v>
      </c>
      <c r="B5" s="359">
        <v>11013</v>
      </c>
      <c r="C5" s="359" t="s">
        <v>194</v>
      </c>
      <c r="D5" s="359">
        <v>3518</v>
      </c>
      <c r="E5" s="359">
        <v>350</v>
      </c>
      <c r="F5" s="359"/>
      <c r="G5" s="359" t="s">
        <v>193</v>
      </c>
      <c r="H5" s="359"/>
      <c r="I5" s="359"/>
      <c r="J5" s="359"/>
      <c r="K5" s="359"/>
      <c r="L5" s="359"/>
    </row>
    <row r="6" spans="1:12" ht="18" x14ac:dyDescent="0.4">
      <c r="A6" s="358">
        <v>46060</v>
      </c>
      <c r="B6" s="360">
        <v>11027</v>
      </c>
      <c r="C6" s="359" t="s">
        <v>194</v>
      </c>
      <c r="D6" s="360">
        <v>4392</v>
      </c>
      <c r="E6" s="436">
        <v>500</v>
      </c>
      <c r="F6" s="360"/>
      <c r="G6" s="434" t="s">
        <v>204</v>
      </c>
      <c r="H6" s="360"/>
      <c r="I6" s="360"/>
      <c r="J6" s="360"/>
      <c r="K6" s="360"/>
      <c r="L6" s="360"/>
    </row>
    <row r="7" spans="1:12" ht="18" x14ac:dyDescent="0.4">
      <c r="A7" s="358">
        <v>46060</v>
      </c>
      <c r="B7" s="361">
        <v>11026</v>
      </c>
      <c r="C7" s="359" t="s">
        <v>194</v>
      </c>
      <c r="D7" s="361">
        <v>200</v>
      </c>
      <c r="E7" s="437"/>
      <c r="F7" s="360"/>
      <c r="G7" s="435"/>
      <c r="H7" s="360"/>
      <c r="I7" s="360"/>
      <c r="J7" s="360"/>
      <c r="K7" s="360"/>
      <c r="L7" s="360"/>
    </row>
    <row r="8" spans="1:12" ht="35" x14ac:dyDescent="0.35">
      <c r="A8" s="362">
        <v>46060</v>
      </c>
      <c r="B8" s="361">
        <v>11022</v>
      </c>
      <c r="C8" s="363" t="s">
        <v>194</v>
      </c>
      <c r="D8" s="361">
        <v>50</v>
      </c>
      <c r="E8" s="361"/>
      <c r="F8" s="361">
        <v>100</v>
      </c>
      <c r="G8" s="361" t="s">
        <v>127</v>
      </c>
      <c r="H8" s="361">
        <v>40</v>
      </c>
      <c r="I8" s="361"/>
      <c r="J8" s="361"/>
      <c r="K8" s="361"/>
      <c r="L8" s="361"/>
    </row>
    <row r="9" spans="1:12" x14ac:dyDescent="0.35">
      <c r="E9" s="33"/>
      <c r="F9" s="33"/>
      <c r="G9" s="33"/>
      <c r="H9" s="34"/>
      <c r="I9" s="34"/>
      <c r="J9" s="34"/>
      <c r="K9" s="34"/>
      <c r="L9" s="35"/>
    </row>
    <row r="10" spans="1:12" ht="15.5" x14ac:dyDescent="0.35">
      <c r="A10" s="31"/>
      <c r="B10" s="33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3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3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3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3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3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3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3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3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3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3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3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3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3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3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3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3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3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3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3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3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3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3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3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3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3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3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3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3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3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3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3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3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3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3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3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3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3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3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3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3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3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3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3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3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3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3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3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3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3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3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3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3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3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3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3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3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3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3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3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3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3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3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3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3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3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3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3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3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3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3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5" x14ac:dyDescent="0.35">
      <c r="A81" s="31"/>
      <c r="B81" s="33"/>
      <c r="C81" s="32"/>
      <c r="D81" s="33"/>
      <c r="E81" s="33"/>
      <c r="F81" s="33"/>
      <c r="G81" s="32"/>
      <c r="H81" s="34"/>
      <c r="I81" s="34"/>
      <c r="J81" s="34"/>
      <c r="K81" s="34"/>
      <c r="L81" s="35"/>
    </row>
    <row r="82" spans="1:12" ht="15.5" x14ac:dyDescent="0.35">
      <c r="A82" s="31"/>
      <c r="B82" s="33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3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3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3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3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3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3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3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3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3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3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3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3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3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3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3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3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3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3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3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3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3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3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3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3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3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3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3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3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3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3"/>
      <c r="C112" s="32"/>
      <c r="D112" s="39"/>
      <c r="E112" s="39"/>
      <c r="F112" s="39"/>
      <c r="G112" s="32"/>
      <c r="H112" s="36"/>
      <c r="I112" s="37"/>
      <c r="J112" s="37"/>
      <c r="K112" s="37"/>
      <c r="L112" s="38"/>
    </row>
    <row r="113" spans="1:12" ht="15.5" x14ac:dyDescent="0.35">
      <c r="A113" s="31"/>
      <c r="B113" s="33"/>
      <c r="C113" s="32"/>
      <c r="D113" s="33"/>
      <c r="E113" s="33"/>
      <c r="F113" s="33"/>
      <c r="G113" s="32"/>
      <c r="H113" s="36"/>
      <c r="I113" s="37"/>
      <c r="J113" s="37"/>
      <c r="K113" s="37"/>
      <c r="L113" s="38"/>
    </row>
    <row r="114" spans="1:12" ht="15.5" x14ac:dyDescent="0.35">
      <c r="A114" s="31"/>
      <c r="B114" s="33"/>
      <c r="C114" s="32"/>
      <c r="D114" s="33"/>
      <c r="E114" s="33"/>
      <c r="F114" s="33"/>
      <c r="G114" s="32"/>
      <c r="H114" s="40"/>
      <c r="I114" s="41"/>
      <c r="J114" s="40"/>
      <c r="K114" s="42"/>
      <c r="L114" s="43"/>
    </row>
    <row r="115" spans="1:12" ht="15.5" x14ac:dyDescent="0.35">
      <c r="A115" s="31"/>
      <c r="B115" s="33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3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3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3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3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3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3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5" x14ac:dyDescent="0.35">
      <c r="A122" s="31"/>
      <c r="B122" s="33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5" x14ac:dyDescent="0.35">
      <c r="A123" s="31"/>
      <c r="B123" s="33"/>
      <c r="C123" s="32"/>
      <c r="D123" s="33"/>
      <c r="E123" s="33"/>
      <c r="F123" s="33"/>
      <c r="G123" s="32"/>
      <c r="H123" s="40"/>
      <c r="I123" s="44"/>
      <c r="J123" s="42"/>
      <c r="K123" s="42"/>
      <c r="L123" s="43"/>
    </row>
    <row r="124" spans="1:12" ht="15.5" x14ac:dyDescent="0.35">
      <c r="A124" s="31"/>
      <c r="B124" s="33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3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3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3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3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3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5" x14ac:dyDescent="0.35">
      <c r="A130" s="31"/>
      <c r="B130" s="33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5" x14ac:dyDescent="0.35">
      <c r="A131" s="31"/>
      <c r="B131" s="33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5" x14ac:dyDescent="0.35">
      <c r="A132" s="31"/>
      <c r="B132" s="33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5" x14ac:dyDescent="0.35">
      <c r="A133" s="31"/>
      <c r="B133" s="33"/>
      <c r="C133" s="32"/>
      <c r="D133" s="33"/>
      <c r="E133" s="33"/>
      <c r="F133" s="33"/>
      <c r="G133" s="32"/>
      <c r="H133" s="40"/>
      <c r="I133" s="44"/>
      <c r="J133" s="42"/>
      <c r="K133" s="42"/>
      <c r="L133" s="43"/>
    </row>
    <row r="134" spans="1:12" ht="15.5" x14ac:dyDescent="0.35">
      <c r="A134" s="31"/>
      <c r="B134" s="33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3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3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5" x14ac:dyDescent="0.35">
      <c r="A137" s="31"/>
      <c r="B137" s="33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5" x14ac:dyDescent="0.35">
      <c r="A138" s="31"/>
      <c r="B138" s="33"/>
      <c r="C138" s="32"/>
      <c r="D138" s="33"/>
      <c r="E138" s="33"/>
      <c r="F138" s="33"/>
      <c r="G138" s="32"/>
      <c r="H138" s="40"/>
      <c r="I138" s="44"/>
      <c r="J138" s="42"/>
      <c r="K138" s="42"/>
      <c r="L138" s="43"/>
    </row>
    <row r="139" spans="1:12" ht="15.5" x14ac:dyDescent="0.35">
      <c r="A139" s="31"/>
      <c r="B139" s="33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3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3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5" x14ac:dyDescent="0.35">
      <c r="A142" s="31"/>
      <c r="B142" s="33"/>
      <c r="C142" s="32"/>
      <c r="D142" s="33"/>
      <c r="E142" s="33"/>
      <c r="F142" s="33"/>
      <c r="G142" s="32"/>
      <c r="H142" s="42"/>
      <c r="I142" s="44"/>
      <c r="J142" s="42"/>
      <c r="K142" s="42"/>
      <c r="L142" s="43"/>
    </row>
    <row r="143" spans="1:12" ht="15.5" x14ac:dyDescent="0.35">
      <c r="A143" s="31"/>
      <c r="B143" s="33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3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3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3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3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3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3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3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5" x14ac:dyDescent="0.35">
      <c r="A151" s="31"/>
      <c r="B151" s="33"/>
      <c r="C151" s="32"/>
      <c r="D151" s="33"/>
      <c r="E151" s="33"/>
      <c r="F151" s="33"/>
      <c r="G151" s="32"/>
      <c r="H151" s="36"/>
      <c r="I151" s="37"/>
      <c r="J151" s="36"/>
      <c r="K151" s="36"/>
      <c r="L151" s="38"/>
    </row>
    <row r="152" spans="1:12" ht="15.5" x14ac:dyDescent="0.35">
      <c r="A152" s="31"/>
      <c r="B152" s="33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3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3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3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3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3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3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3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3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3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3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3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3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3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3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3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3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3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5" x14ac:dyDescent="0.35">
      <c r="A170" s="31"/>
      <c r="B170" s="33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  <row r="171" spans="1:12" ht="15.5" x14ac:dyDescent="0.35">
      <c r="A171" s="31"/>
      <c r="B171" s="33"/>
      <c r="C171" s="32"/>
      <c r="D171" s="33"/>
      <c r="E171" s="33"/>
      <c r="F171" s="33"/>
      <c r="G171" s="32"/>
      <c r="H171" s="36"/>
      <c r="I171" s="37"/>
      <c r="J171" s="37"/>
      <c r="K171" s="37"/>
      <c r="L171" s="38"/>
    </row>
  </sheetData>
  <mergeCells count="4">
    <mergeCell ref="A1:L1"/>
    <mergeCell ref="G2:K2"/>
    <mergeCell ref="G6:G7"/>
    <mergeCell ref="E6:E7"/>
  </mergeCells>
  <pageMargins left="0.25" right="0.25" top="0.75" bottom="0.75" header="0.3" footer="0.3"/>
  <pageSetup paperSize="9" scale="6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sqref="A1:E6"/>
    </sheetView>
  </sheetViews>
  <sheetFormatPr defaultRowHeight="14.5" x14ac:dyDescent="0.35"/>
  <cols>
    <col min="1" max="1" width="13" customWidth="1"/>
    <col min="2" max="2" width="23.81640625" customWidth="1"/>
    <col min="3" max="3" width="18" customWidth="1"/>
    <col min="4" max="4" width="15.1796875" customWidth="1"/>
    <col min="5" max="5" width="19.54296875" customWidth="1"/>
  </cols>
  <sheetData>
    <row r="1" spans="1:6" x14ac:dyDescent="0.35">
      <c r="A1" s="45"/>
      <c r="B1" s="438" t="s">
        <v>54</v>
      </c>
      <c r="C1" s="438"/>
      <c r="D1" s="438"/>
      <c r="E1" s="46"/>
    </row>
    <row r="2" spans="1:6" x14ac:dyDescent="0.35">
      <c r="A2" s="45"/>
      <c r="B2" s="438"/>
      <c r="C2" s="438"/>
      <c r="D2" s="438"/>
      <c r="E2" s="46"/>
    </row>
    <row r="3" spans="1:6" x14ac:dyDescent="0.35">
      <c r="A3" s="47"/>
      <c r="B3" s="47"/>
      <c r="C3" s="48" t="s">
        <v>23</v>
      </c>
      <c r="D3" s="48">
        <f>SUM(D5:D37)</f>
        <v>1200</v>
      </c>
      <c r="E3" s="47"/>
    </row>
    <row r="4" spans="1:6" x14ac:dyDescent="0.3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s="248" customFormat="1" x14ac:dyDescent="0.35">
      <c r="A5" s="254">
        <v>46055</v>
      </c>
      <c r="B5" s="255" t="s">
        <v>149</v>
      </c>
      <c r="C5" s="255" t="s">
        <v>135</v>
      </c>
      <c r="D5" s="255">
        <v>1150</v>
      </c>
      <c r="E5" s="251"/>
    </row>
    <row r="6" spans="1:6" ht="32.25" customHeight="1" x14ac:dyDescent="0.35">
      <c r="A6" s="254">
        <v>46061</v>
      </c>
      <c r="B6" s="255" t="s">
        <v>149</v>
      </c>
      <c r="C6" s="255" t="s">
        <v>135</v>
      </c>
      <c r="D6" s="255">
        <v>50</v>
      </c>
      <c r="E6" s="251"/>
    </row>
    <row r="7" spans="1:6" x14ac:dyDescent="0.35">
      <c r="A7" s="254"/>
      <c r="B7" s="255"/>
      <c r="C7" s="255"/>
      <c r="D7" s="255"/>
      <c r="E7" s="256"/>
    </row>
    <row r="8" spans="1:6" x14ac:dyDescent="0.35">
      <c r="A8" s="253"/>
      <c r="B8" s="250"/>
      <c r="C8" s="250"/>
      <c r="D8" s="250"/>
      <c r="E8" s="251"/>
    </row>
    <row r="9" spans="1:6" x14ac:dyDescent="0.35">
      <c r="A9" s="225"/>
      <c r="B9" s="102"/>
      <c r="C9" s="102"/>
      <c r="D9" s="213"/>
      <c r="E9" s="54"/>
    </row>
    <row r="10" spans="1:6" x14ac:dyDescent="0.35">
      <c r="A10" s="225"/>
      <c r="B10" s="102"/>
      <c r="C10" s="102"/>
      <c r="D10" s="213"/>
      <c r="E10" s="76"/>
    </row>
    <row r="11" spans="1:6" x14ac:dyDescent="0.35">
      <c r="A11" s="225"/>
      <c r="B11" s="212"/>
      <c r="C11" s="210"/>
      <c r="D11" s="252"/>
      <c r="E11" s="75"/>
    </row>
    <row r="12" spans="1:6" x14ac:dyDescent="0.35">
      <c r="A12" s="225"/>
      <c r="B12" s="202"/>
      <c r="C12" s="203"/>
      <c r="D12" s="204"/>
      <c r="E12" s="54"/>
      <c r="F12" s="73"/>
    </row>
    <row r="13" spans="1:6" x14ac:dyDescent="0.35">
      <c r="A13" s="225"/>
      <c r="B13" s="202"/>
      <c r="C13" s="203"/>
      <c r="D13" s="204"/>
      <c r="E13" s="54"/>
      <c r="F13" s="73"/>
    </row>
    <row r="14" spans="1:6" x14ac:dyDescent="0.35">
      <c r="A14" s="201"/>
      <c r="B14" s="202"/>
      <c r="C14" s="203"/>
      <c r="D14" s="204"/>
      <c r="E14" s="54"/>
      <c r="F14" s="73"/>
    </row>
    <row r="15" spans="1:6" x14ac:dyDescent="0.35">
      <c r="A15" s="209"/>
      <c r="B15" s="210"/>
      <c r="C15" s="210"/>
      <c r="D15" s="211"/>
      <c r="E15" s="76"/>
    </row>
    <row r="16" spans="1:6" x14ac:dyDescent="0.35">
      <c r="A16" s="209"/>
      <c r="B16" s="210"/>
      <c r="C16" s="210"/>
      <c r="D16" s="211"/>
      <c r="E16" s="76"/>
    </row>
    <row r="17" spans="1:5" x14ac:dyDescent="0.35">
      <c r="A17" s="209"/>
      <c r="B17" s="210"/>
      <c r="C17" s="210"/>
      <c r="D17" s="211"/>
      <c r="E17" s="76"/>
    </row>
    <row r="18" spans="1:5" x14ac:dyDescent="0.35">
      <c r="A18" s="56"/>
      <c r="B18" s="54"/>
      <c r="C18" s="54"/>
      <c r="D18" s="54"/>
      <c r="E18" s="54"/>
    </row>
    <row r="19" spans="1:5" x14ac:dyDescent="0.35">
      <c r="A19" s="56"/>
      <c r="B19" s="54"/>
      <c r="C19" s="54"/>
      <c r="D19" s="54"/>
      <c r="E19" s="54"/>
    </row>
    <row r="20" spans="1:5" x14ac:dyDescent="0.35">
      <c r="A20" s="56"/>
      <c r="B20" s="54"/>
      <c r="C20" s="54"/>
      <c r="D20" s="54"/>
      <c r="E20" s="54"/>
    </row>
    <row r="21" spans="1:5" x14ac:dyDescent="0.35">
      <c r="A21" s="56"/>
      <c r="B21" s="54"/>
      <c r="C21" s="54"/>
      <c r="D21" s="54"/>
      <c r="E21" s="54"/>
    </row>
    <row r="22" spans="1:5" x14ac:dyDescent="0.35">
      <c r="A22" s="56"/>
      <c r="B22" s="54"/>
      <c r="C22" s="54"/>
      <c r="D22" s="54"/>
      <c r="E22" s="54"/>
    </row>
    <row r="23" spans="1:5" x14ac:dyDescent="0.35">
      <c r="A23" s="56"/>
      <c r="B23" s="54"/>
      <c r="C23" s="54"/>
      <c r="D23" s="54"/>
      <c r="E23" s="54"/>
    </row>
    <row r="24" spans="1:5" x14ac:dyDescent="0.35">
      <c r="A24" s="56"/>
      <c r="B24" s="54"/>
      <c r="C24" s="54"/>
      <c r="D24" s="54"/>
      <c r="E24" s="54"/>
    </row>
    <row r="25" spans="1:5" x14ac:dyDescent="0.35">
      <c r="A25" s="56"/>
      <c r="B25" s="54"/>
      <c r="C25" s="54"/>
      <c r="D25" s="54"/>
      <c r="E25" s="54"/>
    </row>
    <row r="26" spans="1:5" x14ac:dyDescent="0.35">
      <c r="A26" s="56"/>
      <c r="B26" s="54"/>
      <c r="C26" s="54"/>
      <c r="D26" s="54"/>
      <c r="E26" s="54"/>
    </row>
    <row r="27" spans="1:5" x14ac:dyDescent="0.35">
      <c r="A27" s="56"/>
      <c r="B27" s="54"/>
      <c r="C27" s="54"/>
      <c r="D27" s="54"/>
      <c r="E27" s="54"/>
    </row>
    <row r="28" spans="1:5" x14ac:dyDescent="0.35">
      <c r="A28" s="56"/>
      <c r="B28" s="54"/>
      <c r="C28" s="54"/>
      <c r="D28" s="54"/>
      <c r="E28" s="54"/>
    </row>
    <row r="29" spans="1:5" x14ac:dyDescent="0.35">
      <c r="A29" s="56"/>
      <c r="B29" s="54"/>
      <c r="C29" s="54"/>
      <c r="D29" s="54"/>
      <c r="E29" s="54"/>
    </row>
    <row r="30" spans="1:5" x14ac:dyDescent="0.35">
      <c r="A30" s="56"/>
      <c r="B30" s="54"/>
      <c r="C30" s="54"/>
      <c r="D30" s="54"/>
      <c r="E30" s="54"/>
    </row>
    <row r="31" spans="1:5" x14ac:dyDescent="0.35">
      <c r="A31" s="56"/>
      <c r="B31" s="54"/>
      <c r="C31" s="54"/>
      <c r="D31" s="54"/>
      <c r="E31" s="54"/>
    </row>
    <row r="32" spans="1:5" x14ac:dyDescent="0.35">
      <c r="A32" s="56"/>
      <c r="B32" s="54"/>
      <c r="C32" s="54"/>
      <c r="D32" s="54"/>
      <c r="E32" s="54"/>
    </row>
    <row r="33" spans="1:5" x14ac:dyDescent="0.35">
      <c r="A33" s="56"/>
      <c r="B33" s="54"/>
      <c r="C33" s="54"/>
      <c r="D33" s="54"/>
      <c r="E33" s="54"/>
    </row>
    <row r="34" spans="1:5" x14ac:dyDescent="0.35">
      <c r="A34" s="56"/>
      <c r="B34" s="54"/>
      <c r="C34" s="54"/>
      <c r="D34" s="54"/>
      <c r="E34" s="54"/>
    </row>
    <row r="35" spans="1:5" x14ac:dyDescent="0.35">
      <c r="A35" s="56"/>
      <c r="B35" s="54"/>
      <c r="C35" s="54"/>
      <c r="D35" s="54"/>
      <c r="E35" s="54"/>
    </row>
    <row r="36" spans="1:5" x14ac:dyDescent="0.35">
      <c r="A36" s="56"/>
      <c r="B36" s="54"/>
      <c r="C36" s="54"/>
      <c r="D36" s="54"/>
      <c r="E36" s="54"/>
    </row>
    <row r="37" spans="1:5" x14ac:dyDescent="0.35">
      <c r="A37" s="56"/>
      <c r="B37" s="54"/>
      <c r="C37" s="54"/>
      <c r="D37" s="54"/>
      <c r="E37" s="54"/>
    </row>
  </sheetData>
  <mergeCells count="1">
    <mergeCell ref="B1:D2"/>
  </mergeCells>
  <dataValidations count="1">
    <dataValidation type="whole" allowBlank="1" showInputMessage="1" showErrorMessage="1" sqref="E10:E11 E15:E17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sqref="A1:F9"/>
    </sheetView>
  </sheetViews>
  <sheetFormatPr defaultRowHeight="14.5" x14ac:dyDescent="0.35"/>
  <cols>
    <col min="1" max="1" width="10.1796875" bestFit="1" customWidth="1"/>
    <col min="2" max="2" width="24.1796875" customWidth="1"/>
    <col min="3" max="3" width="15.7265625" customWidth="1"/>
    <col min="4" max="4" width="11.26953125" style="47" customWidth="1"/>
    <col min="5" max="5" width="11.54296875" style="47" customWidth="1"/>
    <col min="6" max="6" width="16.26953125" customWidth="1"/>
  </cols>
  <sheetData>
    <row r="1" spans="1:6" ht="21" x14ac:dyDescent="0.35">
      <c r="A1" s="65"/>
      <c r="B1" s="439" t="s">
        <v>63</v>
      </c>
      <c r="C1" s="440"/>
      <c r="D1" s="440"/>
      <c r="E1" s="440"/>
      <c r="F1" s="67"/>
    </row>
    <row r="2" spans="1:6" ht="21" x14ac:dyDescent="0.35">
      <c r="A2" s="65"/>
      <c r="B2" s="66"/>
      <c r="C2" s="65"/>
      <c r="D2" s="68" t="s">
        <v>23</v>
      </c>
      <c r="E2" s="69">
        <f>SUM(E4:E23)</f>
        <v>2040</v>
      </c>
      <c r="F2" s="67"/>
    </row>
    <row r="3" spans="1:6" x14ac:dyDescent="0.35">
      <c r="A3" s="70" t="s">
        <v>36</v>
      </c>
      <c r="B3" s="71" t="s">
        <v>55</v>
      </c>
      <c r="C3" s="71" t="s">
        <v>5</v>
      </c>
      <c r="D3" s="71" t="s">
        <v>62</v>
      </c>
      <c r="E3" s="71" t="s">
        <v>56</v>
      </c>
      <c r="F3" s="71" t="s">
        <v>57</v>
      </c>
    </row>
    <row r="4" spans="1:6" x14ac:dyDescent="0.35">
      <c r="A4" s="205">
        <v>46083</v>
      </c>
      <c r="B4" s="206" t="s">
        <v>195</v>
      </c>
      <c r="C4" s="207" t="s">
        <v>135</v>
      </c>
      <c r="D4" s="208">
        <v>4</v>
      </c>
      <c r="E4" s="76">
        <v>120</v>
      </c>
      <c r="F4" s="73"/>
    </row>
    <row r="5" spans="1:6" x14ac:dyDescent="0.35">
      <c r="A5" s="205">
        <v>46083</v>
      </c>
      <c r="B5" s="206" t="s">
        <v>196</v>
      </c>
      <c r="C5" s="207" t="s">
        <v>135</v>
      </c>
      <c r="D5" s="211">
        <v>4</v>
      </c>
      <c r="E5" s="76">
        <v>1400</v>
      </c>
      <c r="F5" s="73"/>
    </row>
    <row r="6" spans="1:6" x14ac:dyDescent="0.35">
      <c r="A6" s="205">
        <v>46083</v>
      </c>
      <c r="B6" s="102" t="s">
        <v>197</v>
      </c>
      <c r="C6" s="207" t="s">
        <v>135</v>
      </c>
      <c r="D6" s="213">
        <v>3</v>
      </c>
      <c r="E6" s="213">
        <v>120</v>
      </c>
      <c r="F6" s="74"/>
    </row>
    <row r="7" spans="1:6" x14ac:dyDescent="0.35">
      <c r="A7" s="205">
        <v>46083</v>
      </c>
      <c r="B7" s="73" t="s">
        <v>198</v>
      </c>
      <c r="C7" s="207" t="s">
        <v>135</v>
      </c>
      <c r="D7" s="76">
        <v>1</v>
      </c>
      <c r="E7" s="76">
        <v>160</v>
      </c>
      <c r="F7" s="73"/>
    </row>
    <row r="8" spans="1:6" x14ac:dyDescent="0.35">
      <c r="A8" s="205">
        <v>46083</v>
      </c>
      <c r="B8" s="102" t="s">
        <v>199</v>
      </c>
      <c r="C8" s="207" t="s">
        <v>135</v>
      </c>
      <c r="D8" s="213">
        <v>2</v>
      </c>
      <c r="E8" s="213">
        <v>40</v>
      </c>
      <c r="F8" s="102"/>
    </row>
    <row r="9" spans="1:6" x14ac:dyDescent="0.35">
      <c r="A9" s="205">
        <v>46083</v>
      </c>
      <c r="B9" s="102" t="s">
        <v>200</v>
      </c>
      <c r="C9" s="207" t="s">
        <v>135</v>
      </c>
      <c r="D9" s="213">
        <v>4</v>
      </c>
      <c r="E9" s="213">
        <v>200</v>
      </c>
      <c r="F9" s="102"/>
    </row>
    <row r="10" spans="1:6" x14ac:dyDescent="0.35">
      <c r="A10" s="72"/>
      <c r="B10" s="73"/>
      <c r="C10" s="73"/>
      <c r="D10" s="76"/>
      <c r="E10" s="76"/>
      <c r="F10" s="102"/>
    </row>
    <row r="11" spans="1:6" ht="15.5" x14ac:dyDescent="0.35">
      <c r="A11" s="72"/>
      <c r="B11" s="73"/>
      <c r="C11" s="73"/>
      <c r="D11" s="76"/>
      <c r="E11" s="199"/>
      <c r="F11" s="73"/>
    </row>
    <row r="12" spans="1:6" x14ac:dyDescent="0.35">
      <c r="A12" s="72"/>
      <c r="B12" s="73"/>
      <c r="C12" s="73"/>
      <c r="D12" s="76"/>
      <c r="E12" s="76"/>
      <c r="F12" s="73"/>
    </row>
    <row r="13" spans="1:6" x14ac:dyDescent="0.35">
      <c r="A13" s="72"/>
      <c r="B13" s="73"/>
      <c r="C13" s="73"/>
      <c r="D13" s="76"/>
      <c r="E13" s="76"/>
      <c r="F13" s="73"/>
    </row>
    <row r="14" spans="1:6" x14ac:dyDescent="0.35">
      <c r="A14" s="72"/>
      <c r="B14" s="73"/>
      <c r="C14" s="73"/>
      <c r="D14" s="76"/>
      <c r="E14" s="76"/>
      <c r="F14" s="73"/>
    </row>
    <row r="15" spans="1:6" x14ac:dyDescent="0.35">
      <c r="A15" s="72"/>
      <c r="B15" s="73"/>
      <c r="C15" s="73"/>
      <c r="D15" s="76"/>
      <c r="E15" s="76"/>
      <c r="F15" s="73"/>
    </row>
    <row r="16" spans="1:6" x14ac:dyDescent="0.35">
      <c r="A16" s="72"/>
      <c r="B16" s="73"/>
      <c r="C16" s="73"/>
      <c r="D16" s="76"/>
      <c r="E16" s="76"/>
      <c r="F16" s="73"/>
    </row>
    <row r="17" spans="1:6" x14ac:dyDescent="0.35">
      <c r="A17" s="72"/>
      <c r="B17" s="73"/>
      <c r="C17" s="73"/>
      <c r="D17" s="76"/>
      <c r="E17" s="76"/>
      <c r="F17" s="73"/>
    </row>
    <row r="18" spans="1:6" x14ac:dyDescent="0.35">
      <c r="A18" s="72"/>
      <c r="B18" s="73"/>
      <c r="C18" s="73"/>
      <c r="D18" s="76"/>
      <c r="E18" s="76"/>
      <c r="F18" s="73"/>
    </row>
    <row r="19" spans="1:6" x14ac:dyDescent="0.35">
      <c r="A19" s="72"/>
      <c r="B19" s="73"/>
      <c r="C19" s="73"/>
      <c r="D19" s="76"/>
      <c r="E19" s="76"/>
      <c r="F19" s="73"/>
    </row>
    <row r="20" spans="1:6" x14ac:dyDescent="0.35">
      <c r="A20" s="72"/>
      <c r="B20" s="73"/>
      <c r="C20" s="73"/>
      <c r="D20" s="76"/>
      <c r="E20" s="76"/>
      <c r="F20" s="73"/>
    </row>
    <row r="21" spans="1:6" x14ac:dyDescent="0.35">
      <c r="A21" s="72"/>
      <c r="B21" s="73"/>
      <c r="C21" s="73"/>
      <c r="D21" s="76"/>
      <c r="E21" s="76"/>
      <c r="F21" s="73"/>
    </row>
    <row r="22" spans="1:6" x14ac:dyDescent="0.35">
      <c r="A22" s="72"/>
      <c r="B22" s="73"/>
      <c r="C22" s="73"/>
      <c r="D22" s="76"/>
      <c r="E22" s="76"/>
      <c r="F22" s="73"/>
    </row>
    <row r="23" spans="1:6" x14ac:dyDescent="0.35">
      <c r="A23" s="72"/>
      <c r="B23" s="73"/>
      <c r="C23" s="73"/>
      <c r="D23" s="76"/>
      <c r="E23" s="76"/>
      <c r="F23" s="73"/>
    </row>
    <row r="24" spans="1:6" x14ac:dyDescent="0.35">
      <c r="F24" s="73"/>
    </row>
    <row r="25" spans="1:6" x14ac:dyDescent="0.35">
      <c r="F25" s="73"/>
    </row>
    <row r="26" spans="1:6" x14ac:dyDescent="0.35">
      <c r="F26" s="73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>
      <selection activeCell="D17" sqref="D17"/>
    </sheetView>
  </sheetViews>
  <sheetFormatPr defaultRowHeight="14.5" x14ac:dyDescent="0.35"/>
  <cols>
    <col min="1" max="1" width="24.7265625" customWidth="1"/>
    <col min="2" max="5" width="20.7265625" customWidth="1"/>
    <col min="6" max="6" width="14.7265625" customWidth="1"/>
    <col min="7" max="7" width="15.81640625" customWidth="1"/>
    <col min="9" max="9" width="9.1796875" customWidth="1"/>
  </cols>
  <sheetData>
    <row r="1" spans="1:17" ht="21" x14ac:dyDescent="0.35">
      <c r="A1" s="45"/>
      <c r="B1" s="438" t="s">
        <v>58</v>
      </c>
      <c r="C1" s="438"/>
      <c r="D1" s="267"/>
      <c r="E1" s="267"/>
      <c r="F1" s="58"/>
      <c r="G1" s="46"/>
    </row>
    <row r="2" spans="1:17" x14ac:dyDescent="0.35">
      <c r="A2" s="59"/>
      <c r="B2" s="59"/>
      <c r="C2" s="48" t="s">
        <v>23</v>
      </c>
      <c r="D2" s="48"/>
      <c r="E2" s="48"/>
      <c r="F2" s="48">
        <f>SUM(F4:F5)</f>
        <v>0</v>
      </c>
      <c r="G2" s="59"/>
    </row>
    <row r="3" spans="1:17" x14ac:dyDescent="0.35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29" x14ac:dyDescent="0.35">
      <c r="A4" s="52" t="s">
        <v>153</v>
      </c>
      <c r="B4" s="53" t="s">
        <v>154</v>
      </c>
      <c r="C4" s="268">
        <v>44957</v>
      </c>
      <c r="D4" s="269" t="s">
        <v>155</v>
      </c>
      <c r="E4" s="55" t="s">
        <v>156</v>
      </c>
      <c r="F4" s="55"/>
      <c r="G4" s="54" t="s">
        <v>157</v>
      </c>
    </row>
    <row r="5" spans="1:17" x14ac:dyDescent="0.35">
      <c r="A5" s="56" t="s">
        <v>158</v>
      </c>
      <c r="B5" s="57" t="s">
        <v>159</v>
      </c>
      <c r="C5" s="268">
        <v>44957</v>
      </c>
      <c r="D5" s="54"/>
      <c r="E5" s="54"/>
      <c r="F5" s="55"/>
      <c r="G5" s="54" t="s">
        <v>157</v>
      </c>
    </row>
    <row r="6" spans="1:17" x14ac:dyDescent="0.35">
      <c r="K6" s="52"/>
      <c r="L6" s="53"/>
      <c r="M6" s="268"/>
      <c r="N6" s="269"/>
      <c r="O6" s="55"/>
      <c r="P6" s="55"/>
      <c r="Q6" s="54"/>
    </row>
    <row r="7" spans="1:17" x14ac:dyDescent="0.35">
      <c r="K7" s="56"/>
      <c r="L7" s="57"/>
      <c r="M7" s="268"/>
      <c r="N7" s="54"/>
      <c r="O7" s="54"/>
      <c r="P7" s="55"/>
      <c r="Q7" s="54"/>
    </row>
    <row r="9" spans="1:17" x14ac:dyDescent="0.35">
      <c r="F9" t="s">
        <v>160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4.5" x14ac:dyDescent="0.35"/>
  <cols>
    <col min="1" max="1" width="15" customWidth="1"/>
    <col min="2" max="2" width="16.7265625" customWidth="1"/>
    <col min="3" max="3" width="18" customWidth="1"/>
    <col min="4" max="4" width="16.7265625" customWidth="1"/>
    <col min="5" max="5" width="14.1796875" customWidth="1"/>
    <col min="6" max="6" width="19.453125" customWidth="1"/>
  </cols>
  <sheetData>
    <row r="1" spans="1:6" ht="21" x14ac:dyDescent="0.35">
      <c r="A1" s="441" t="s">
        <v>61</v>
      </c>
      <c r="B1" s="442"/>
      <c r="C1" s="442"/>
      <c r="D1" s="443"/>
      <c r="E1" s="443"/>
      <c r="F1" s="444"/>
    </row>
    <row r="2" spans="1:6" x14ac:dyDescent="0.35">
      <c r="A2" s="60"/>
      <c r="B2" s="60"/>
      <c r="C2" s="60"/>
      <c r="D2" s="61" t="s">
        <v>23</v>
      </c>
      <c r="E2" s="62">
        <f>SUM(E4:E25)</f>
        <v>0</v>
      </c>
      <c r="F2" s="60"/>
    </row>
    <row r="3" spans="1:6" x14ac:dyDescent="0.35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 x14ac:dyDescent="0.35">
      <c r="A4" s="56"/>
      <c r="B4" s="54"/>
      <c r="C4" s="54"/>
      <c r="D4" s="54"/>
      <c r="E4" s="54"/>
      <c r="F4" s="54"/>
    </row>
    <row r="5" spans="1:6" x14ac:dyDescent="0.35">
      <c r="A5" s="56"/>
      <c r="B5" s="54"/>
      <c r="C5" s="54"/>
      <c r="D5" s="55"/>
      <c r="E5" s="55"/>
      <c r="F5" s="54"/>
    </row>
    <row r="6" spans="1:6" x14ac:dyDescent="0.35">
      <c r="A6" s="56"/>
      <c r="B6" s="54"/>
      <c r="C6" s="54"/>
      <c r="D6" s="54"/>
      <c r="E6" s="54"/>
      <c r="F6" s="54"/>
    </row>
    <row r="7" spans="1:6" x14ac:dyDescent="0.35">
      <c r="A7" s="56"/>
      <c r="B7" s="54"/>
      <c r="C7" s="54"/>
      <c r="D7" s="54"/>
      <c r="E7" s="54"/>
      <c r="F7" s="54"/>
    </row>
    <row r="8" spans="1:6" x14ac:dyDescent="0.35">
      <c r="A8" s="56"/>
      <c r="B8" s="54"/>
      <c r="C8" s="54"/>
      <c r="D8" s="54"/>
      <c r="E8" s="54"/>
      <c r="F8" s="54"/>
    </row>
    <row r="9" spans="1:6" x14ac:dyDescent="0.35">
      <c r="A9" s="56"/>
      <c r="B9" s="54"/>
      <c r="C9" s="54"/>
      <c r="D9" s="54"/>
      <c r="E9" s="54"/>
      <c r="F9" s="54"/>
    </row>
    <row r="10" spans="1:6" x14ac:dyDescent="0.35">
      <c r="A10" s="56"/>
      <c r="B10" s="54"/>
      <c r="C10" s="54"/>
      <c r="D10" s="54"/>
      <c r="E10" s="54"/>
      <c r="F10" s="54"/>
    </row>
    <row r="11" spans="1:6" x14ac:dyDescent="0.35">
      <c r="A11" s="56"/>
      <c r="B11" s="54"/>
      <c r="C11" s="54"/>
      <c r="D11" s="54"/>
      <c r="E11" s="54"/>
      <c r="F11" s="54"/>
    </row>
    <row r="12" spans="1:6" x14ac:dyDescent="0.35">
      <c r="A12" s="56"/>
      <c r="B12" s="54"/>
      <c r="C12" s="54"/>
      <c r="D12" s="54"/>
      <c r="E12" s="54"/>
      <c r="F12" s="54"/>
    </row>
    <row r="13" spans="1:6" x14ac:dyDescent="0.35">
      <c r="A13" s="56"/>
      <c r="B13" s="54"/>
      <c r="C13" s="54"/>
      <c r="D13" s="54"/>
      <c r="E13" s="54"/>
      <c r="F13" s="54"/>
    </row>
    <row r="14" spans="1:6" x14ac:dyDescent="0.35">
      <c r="A14" s="56"/>
      <c r="B14" s="54"/>
      <c r="C14" s="54"/>
      <c r="D14" s="54"/>
      <c r="E14" s="54"/>
      <c r="F14" s="54"/>
    </row>
    <row r="15" spans="1:6" x14ac:dyDescent="0.35">
      <c r="A15" s="56"/>
      <c r="B15" s="54"/>
      <c r="C15" s="54"/>
      <c r="D15" s="54"/>
      <c r="E15" s="54"/>
      <c r="F15" s="54"/>
    </row>
    <row r="16" spans="1:6" x14ac:dyDescent="0.35">
      <c r="A16" s="56"/>
      <c r="B16" s="54"/>
      <c r="C16" s="54"/>
      <c r="D16" s="54"/>
      <c r="E16" s="54"/>
      <c r="F16" s="54"/>
    </row>
    <row r="17" spans="1:6" x14ac:dyDescent="0.35">
      <c r="A17" s="56"/>
      <c r="B17" s="54"/>
      <c r="C17" s="54"/>
      <c r="D17" s="54"/>
      <c r="E17" s="54"/>
      <c r="F17" s="54"/>
    </row>
    <row r="18" spans="1:6" x14ac:dyDescent="0.35">
      <c r="A18" s="56"/>
      <c r="B18" s="54"/>
      <c r="C18" s="54"/>
      <c r="D18" s="54"/>
      <c r="E18" s="54"/>
      <c r="F18" s="54"/>
    </row>
    <row r="19" spans="1:6" x14ac:dyDescent="0.35">
      <c r="A19" s="56"/>
      <c r="B19" s="54"/>
      <c r="C19" s="54"/>
      <c r="D19" s="54"/>
      <c r="E19" s="54"/>
      <c r="F19" s="54"/>
    </row>
    <row r="20" spans="1:6" x14ac:dyDescent="0.35">
      <c r="A20" s="56"/>
      <c r="B20" s="54"/>
      <c r="C20" s="54"/>
      <c r="D20" s="54"/>
      <c r="E20" s="54"/>
      <c r="F20" s="54"/>
    </row>
    <row r="21" spans="1:6" x14ac:dyDescent="0.35">
      <c r="A21" s="56"/>
      <c r="B21" s="54"/>
      <c r="C21" s="54"/>
      <c r="D21" s="54"/>
      <c r="E21" s="54"/>
      <c r="F21" s="54"/>
    </row>
    <row r="22" spans="1:6" x14ac:dyDescent="0.35">
      <c r="A22" s="56"/>
      <c r="B22" s="54"/>
      <c r="C22" s="54"/>
      <c r="D22" s="54"/>
      <c r="E22" s="54"/>
      <c r="F22" s="54"/>
    </row>
    <row r="23" spans="1:6" x14ac:dyDescent="0.35">
      <c r="A23" s="56"/>
      <c r="B23" s="54"/>
      <c r="C23" s="54"/>
      <c r="D23" s="54"/>
      <c r="E23" s="54"/>
      <c r="F23" s="54"/>
    </row>
    <row r="24" spans="1:6" x14ac:dyDescent="0.35">
      <c r="A24" s="56"/>
      <c r="B24" s="54"/>
      <c r="C24" s="54"/>
      <c r="D24" s="54"/>
      <c r="E24" s="54"/>
      <c r="F24" s="54"/>
    </row>
    <row r="25" spans="1:6" x14ac:dyDescent="0.3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4.5" x14ac:dyDescent="0.35"/>
  <cols>
    <col min="2" max="2" width="24.26953125" customWidth="1"/>
    <col min="3" max="3" width="11.26953125" customWidth="1"/>
    <col min="4" max="4" width="13.7265625" customWidth="1"/>
    <col min="5" max="5" width="13.453125" customWidth="1"/>
  </cols>
  <sheetData>
    <row r="1" spans="1:5" ht="15.5" x14ac:dyDescent="0.35">
      <c r="A1" s="445" t="s">
        <v>64</v>
      </c>
      <c r="B1" s="445"/>
      <c r="C1" s="445"/>
      <c r="D1" s="445"/>
      <c r="E1" s="445"/>
    </row>
    <row r="2" spans="1:5" x14ac:dyDescent="0.35">
      <c r="A2" s="77"/>
      <c r="B2" s="77"/>
      <c r="C2" s="78" t="s">
        <v>23</v>
      </c>
      <c r="D2" s="78">
        <f>SUM(D4:D9)</f>
        <v>0</v>
      </c>
      <c r="E2" s="77"/>
    </row>
    <row r="3" spans="1:5" x14ac:dyDescent="0.35">
      <c r="A3" s="79" t="s">
        <v>36</v>
      </c>
      <c r="B3" s="80" t="s">
        <v>65</v>
      </c>
      <c r="C3" s="79" t="s">
        <v>62</v>
      </c>
      <c r="D3" s="79" t="s">
        <v>56</v>
      </c>
      <c r="E3" s="81" t="s">
        <v>57</v>
      </c>
    </row>
    <row r="4" spans="1:5" x14ac:dyDescent="0.35">
      <c r="A4" s="55"/>
      <c r="B4" s="55"/>
      <c r="C4" s="55"/>
      <c r="D4" s="55"/>
      <c r="E4" s="55"/>
    </row>
    <row r="5" spans="1:5" x14ac:dyDescent="0.35">
      <c r="A5" s="55"/>
      <c r="B5" s="55"/>
      <c r="C5" s="55"/>
      <c r="D5" s="55"/>
      <c r="E5" s="55"/>
    </row>
    <row r="6" spans="1:5" x14ac:dyDescent="0.35">
      <c r="A6" s="55"/>
      <c r="B6" s="55"/>
      <c r="C6" s="55"/>
      <c r="D6" s="55"/>
      <c r="E6" s="55"/>
    </row>
    <row r="7" spans="1:5" x14ac:dyDescent="0.35">
      <c r="A7" s="55"/>
      <c r="B7" s="55"/>
      <c r="C7" s="55"/>
      <c r="D7" s="55"/>
      <c r="E7" s="55"/>
    </row>
    <row r="8" spans="1:5" x14ac:dyDescent="0.35">
      <c r="A8" s="55"/>
      <c r="B8" s="55"/>
      <c r="C8" s="55"/>
      <c r="D8" s="55"/>
      <c r="E8" s="55"/>
    </row>
    <row r="9" spans="1:5" x14ac:dyDescent="0.35">
      <c r="A9" s="55"/>
      <c r="B9" s="55"/>
      <c r="C9" s="55"/>
      <c r="D9" s="55"/>
      <c r="E9" s="55"/>
    </row>
    <row r="10" spans="1:5" x14ac:dyDescent="0.35">
      <c r="A10" s="77"/>
      <c r="B10" s="77"/>
      <c r="C10" s="77"/>
      <c r="D10" s="77"/>
      <c r="E10" s="77"/>
    </row>
    <row r="11" spans="1:5" x14ac:dyDescent="0.35">
      <c r="A11" s="77"/>
      <c r="B11" s="77"/>
      <c r="C11" s="77"/>
      <c r="D11" s="77"/>
      <c r="E11" s="77"/>
    </row>
    <row r="12" spans="1:5" ht="15.5" x14ac:dyDescent="0.35">
      <c r="A12" s="445" t="s">
        <v>17</v>
      </c>
      <c r="B12" s="445"/>
      <c r="C12" s="445"/>
      <c r="D12" s="445"/>
      <c r="E12" s="445"/>
    </row>
    <row r="13" spans="1:5" x14ac:dyDescent="0.35">
      <c r="A13" s="77"/>
      <c r="B13" s="77"/>
      <c r="C13" s="78" t="s">
        <v>23</v>
      </c>
      <c r="D13" s="78">
        <f>SUM(D15:D25)</f>
        <v>0</v>
      </c>
      <c r="E13" s="77"/>
    </row>
    <row r="14" spans="1:5" x14ac:dyDescent="0.35">
      <c r="A14" s="79" t="s">
        <v>36</v>
      </c>
      <c r="B14" s="80" t="s">
        <v>65</v>
      </c>
      <c r="C14" s="79" t="s">
        <v>62</v>
      </c>
      <c r="D14" s="79" t="s">
        <v>56</v>
      </c>
      <c r="E14" s="81" t="s">
        <v>57</v>
      </c>
    </row>
    <row r="15" spans="1:5" x14ac:dyDescent="0.35">
      <c r="A15" s="55"/>
      <c r="B15" s="55"/>
      <c r="C15" s="55"/>
      <c r="D15" s="55"/>
      <c r="E15" s="55"/>
    </row>
    <row r="16" spans="1:5" x14ac:dyDescent="0.35">
      <c r="A16" s="55"/>
      <c r="B16" s="55"/>
      <c r="C16" s="55"/>
      <c r="D16" s="55"/>
      <c r="E16" s="55"/>
    </row>
    <row r="17" spans="1:5" x14ac:dyDescent="0.35">
      <c r="A17" s="55"/>
      <c r="B17" s="55"/>
      <c r="C17" s="55"/>
      <c r="D17" s="55"/>
      <c r="E17" s="55"/>
    </row>
    <row r="18" spans="1:5" x14ac:dyDescent="0.35">
      <c r="A18" s="55"/>
      <c r="B18" s="55"/>
      <c r="C18" s="55"/>
      <c r="D18" s="55"/>
      <c r="E18" s="55"/>
    </row>
    <row r="19" spans="1:5" x14ac:dyDescent="0.35">
      <c r="A19" s="55"/>
      <c r="B19" s="55"/>
      <c r="C19" s="55"/>
      <c r="D19" s="55"/>
      <c r="E19" s="55"/>
    </row>
    <row r="20" spans="1:5" x14ac:dyDescent="0.35">
      <c r="A20" s="55"/>
      <c r="B20" s="55"/>
      <c r="C20" s="55"/>
      <c r="D20" s="55"/>
      <c r="E20" s="55"/>
    </row>
    <row r="21" spans="1:5" x14ac:dyDescent="0.35">
      <c r="A21" s="55"/>
      <c r="B21" s="55"/>
      <c r="C21" s="55"/>
      <c r="D21" s="55"/>
      <c r="E21" s="55"/>
    </row>
    <row r="22" spans="1:5" x14ac:dyDescent="0.35">
      <c r="A22" s="54"/>
      <c r="B22" s="54"/>
      <c r="C22" s="54"/>
      <c r="D22" s="54"/>
      <c r="E22" s="54"/>
    </row>
    <row r="23" spans="1:5" x14ac:dyDescent="0.35">
      <c r="A23" s="54"/>
      <c r="B23" s="54"/>
      <c r="C23" s="54"/>
      <c r="D23" s="54"/>
      <c r="E23" s="54"/>
    </row>
    <row r="24" spans="1:5" x14ac:dyDescent="0.35">
      <c r="A24" s="54"/>
      <c r="B24" s="54"/>
      <c r="C24" s="54"/>
      <c r="D24" s="54"/>
      <c r="E24" s="54"/>
    </row>
    <row r="25" spans="1:5" x14ac:dyDescent="0.3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topLeftCell="A19" workbookViewId="0">
      <selection activeCell="J12" sqref="J12"/>
    </sheetView>
  </sheetViews>
  <sheetFormatPr defaultRowHeight="14.5" x14ac:dyDescent="0.35"/>
  <cols>
    <col min="1" max="1" width="10.1796875" bestFit="1" customWidth="1"/>
    <col min="2" max="2" width="17" customWidth="1"/>
    <col min="3" max="3" width="17.7265625" customWidth="1"/>
    <col min="4" max="4" width="13.81640625" customWidth="1"/>
    <col min="5" max="5" width="14.54296875" customWidth="1"/>
  </cols>
  <sheetData>
    <row r="1" spans="1:5" ht="21" x14ac:dyDescent="0.35">
      <c r="A1" s="446" t="s">
        <v>66</v>
      </c>
      <c r="B1" s="446"/>
      <c r="C1" s="447"/>
      <c r="D1" s="447"/>
      <c r="E1" s="446"/>
    </row>
    <row r="2" spans="1:5" ht="21" x14ac:dyDescent="0.5">
      <c r="A2" s="82"/>
      <c r="B2" s="82"/>
      <c r="C2" s="83" t="s">
        <v>23</v>
      </c>
      <c r="D2" s="83">
        <f>SUM(D4:D16)</f>
        <v>0</v>
      </c>
      <c r="E2" s="82"/>
    </row>
    <row r="3" spans="1:5" x14ac:dyDescent="0.35">
      <c r="A3" s="84" t="s">
        <v>36</v>
      </c>
      <c r="B3" s="85" t="s">
        <v>55</v>
      </c>
      <c r="C3" s="85" t="s">
        <v>5</v>
      </c>
      <c r="D3" s="85" t="s">
        <v>56</v>
      </c>
      <c r="E3" s="85" t="s">
        <v>57</v>
      </c>
    </row>
    <row r="4" spans="1:5" x14ac:dyDescent="0.35">
      <c r="A4" s="72"/>
      <c r="B4" s="75"/>
      <c r="C4" s="76"/>
      <c r="D4" s="76"/>
      <c r="E4" s="73"/>
    </row>
    <row r="5" spans="1:5" x14ac:dyDescent="0.35">
      <c r="A5" s="72"/>
      <c r="B5" s="75"/>
      <c r="C5" s="76"/>
      <c r="D5" s="86"/>
      <c r="E5" s="87"/>
    </row>
    <row r="6" spans="1:5" x14ac:dyDescent="0.35">
      <c r="A6" s="72"/>
      <c r="B6" s="75"/>
      <c r="C6" s="76"/>
      <c r="D6" s="76"/>
      <c r="E6" s="73"/>
    </row>
    <row r="7" spans="1:5" x14ac:dyDescent="0.35">
      <c r="A7" s="72"/>
      <c r="B7" s="73"/>
      <c r="C7" s="73"/>
      <c r="D7" s="76"/>
      <c r="E7" s="73"/>
    </row>
    <row r="8" spans="1:5" x14ac:dyDescent="0.35">
      <c r="A8" s="72"/>
      <c r="B8" s="73"/>
      <c r="C8" s="73"/>
      <c r="D8" s="76"/>
      <c r="E8" s="73"/>
    </row>
    <row r="9" spans="1:5" x14ac:dyDescent="0.35">
      <c r="A9" s="72"/>
      <c r="B9" s="73"/>
      <c r="C9" s="73"/>
      <c r="D9" s="76"/>
      <c r="E9" s="73"/>
    </row>
    <row r="10" spans="1:5" x14ac:dyDescent="0.35">
      <c r="A10" s="72"/>
      <c r="B10" s="73"/>
      <c r="C10" s="73"/>
      <c r="D10" s="76"/>
      <c r="E10" s="73"/>
    </row>
    <row r="11" spans="1:5" x14ac:dyDescent="0.35">
      <c r="A11" s="72"/>
      <c r="B11" s="73"/>
      <c r="C11" s="73"/>
      <c r="D11" s="73"/>
      <c r="E11" s="73"/>
    </row>
    <row r="12" spans="1:5" x14ac:dyDescent="0.35">
      <c r="A12" s="72"/>
      <c r="B12" s="73"/>
      <c r="C12" s="73"/>
      <c r="D12" s="73"/>
      <c r="E12" s="73"/>
    </row>
    <row r="13" spans="1:5" x14ac:dyDescent="0.35">
      <c r="A13" s="72"/>
      <c r="B13" s="73"/>
      <c r="C13" s="73"/>
      <c r="D13" s="73"/>
      <c r="E13" s="73"/>
    </row>
    <row r="14" spans="1:5" x14ac:dyDescent="0.35">
      <c r="A14" s="72"/>
      <c r="B14" s="73"/>
      <c r="C14" s="73"/>
      <c r="D14" s="73"/>
      <c r="E14" s="73"/>
    </row>
    <row r="15" spans="1:5" x14ac:dyDescent="0.35">
      <c r="A15" s="72"/>
      <c r="B15" s="73"/>
      <c r="C15" s="73"/>
      <c r="D15" s="73"/>
      <c r="E15" s="73"/>
    </row>
    <row r="16" spans="1:5" x14ac:dyDescent="0.35">
      <c r="A16" s="72"/>
      <c r="B16" s="73"/>
      <c r="C16" s="73"/>
      <c r="D16" s="73"/>
      <c r="E16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1" sqref="I11"/>
    </sheetView>
  </sheetViews>
  <sheetFormatPr defaultRowHeight="14.5" x14ac:dyDescent="0.35"/>
  <cols>
    <col min="1" max="1" width="15.54296875" bestFit="1" customWidth="1"/>
    <col min="2" max="2" width="17.26953125" bestFit="1" customWidth="1"/>
    <col min="3" max="3" width="12.54296875" customWidth="1"/>
    <col min="4" max="4" width="13.26953125" customWidth="1"/>
    <col min="5" max="5" width="17.26953125" customWidth="1"/>
  </cols>
  <sheetData>
    <row r="1" spans="1:5" ht="18.5" x14ac:dyDescent="0.35">
      <c r="A1" s="448" t="s">
        <v>19</v>
      </c>
      <c r="B1" s="448"/>
      <c r="C1" s="448"/>
      <c r="D1" s="448"/>
      <c r="E1" s="448"/>
    </row>
    <row r="2" spans="1:5" x14ac:dyDescent="0.35">
      <c r="A2" s="88"/>
      <c r="B2" s="65"/>
      <c r="C2" s="89" t="s">
        <v>23</v>
      </c>
      <c r="D2" s="89">
        <f>SUM(D4:D30)</f>
        <v>0</v>
      </c>
      <c r="E2" s="65"/>
    </row>
    <row r="3" spans="1:5" x14ac:dyDescent="0.35">
      <c r="A3" s="84" t="s">
        <v>67</v>
      </c>
      <c r="B3" s="85" t="s">
        <v>68</v>
      </c>
      <c r="C3" s="85" t="s">
        <v>69</v>
      </c>
      <c r="D3" s="85" t="s">
        <v>56</v>
      </c>
      <c r="E3" s="85" t="s">
        <v>57</v>
      </c>
    </row>
    <row r="4" spans="1:5" x14ac:dyDescent="0.35">
      <c r="A4" s="72"/>
      <c r="B4" s="73"/>
      <c r="C4" s="73"/>
      <c r="D4" s="73"/>
      <c r="E4" s="73"/>
    </row>
    <row r="5" spans="1:5" x14ac:dyDescent="0.35">
      <c r="A5" s="72"/>
      <c r="B5" s="73"/>
      <c r="C5" s="73"/>
      <c r="D5" s="73"/>
      <c r="E5" s="73"/>
    </row>
    <row r="6" spans="1:5" x14ac:dyDescent="0.35">
      <c r="A6" s="72"/>
      <c r="B6" s="73"/>
      <c r="C6" s="73"/>
      <c r="D6" s="73"/>
      <c r="E6" s="73"/>
    </row>
    <row r="7" spans="1:5" x14ac:dyDescent="0.35">
      <c r="A7" s="72"/>
      <c r="B7" s="73"/>
      <c r="C7" s="73"/>
      <c r="D7" s="73"/>
      <c r="E7" s="73"/>
    </row>
    <row r="8" spans="1:5" x14ac:dyDescent="0.35">
      <c r="A8" s="72"/>
      <c r="B8" s="73"/>
      <c r="C8" s="73"/>
      <c r="D8" s="73"/>
      <c r="E8" s="73"/>
    </row>
    <row r="9" spans="1:5" x14ac:dyDescent="0.35">
      <c r="A9" s="72"/>
      <c r="B9" s="73"/>
      <c r="C9" s="73"/>
      <c r="D9" s="73"/>
      <c r="E9" s="73"/>
    </row>
    <row r="10" spans="1:5" x14ac:dyDescent="0.35">
      <c r="A10" s="72"/>
      <c r="B10" s="73"/>
      <c r="C10" s="73"/>
      <c r="D10" s="73"/>
      <c r="E10" s="73"/>
    </row>
    <row r="11" spans="1:5" x14ac:dyDescent="0.35">
      <c r="A11" s="72"/>
      <c r="B11" s="73"/>
      <c r="C11" s="73"/>
      <c r="D11" s="73"/>
      <c r="E11" s="73"/>
    </row>
    <row r="12" spans="1:5" x14ac:dyDescent="0.35">
      <c r="A12" s="72"/>
      <c r="B12" s="73"/>
      <c r="C12" s="73"/>
      <c r="D12" s="73"/>
      <c r="E12" s="73"/>
    </row>
    <row r="13" spans="1:5" x14ac:dyDescent="0.35">
      <c r="A13" s="72"/>
      <c r="B13" s="73"/>
      <c r="C13" s="73"/>
      <c r="D13" s="73"/>
      <c r="E13" s="73"/>
    </row>
    <row r="14" spans="1:5" x14ac:dyDescent="0.35">
      <c r="A14" s="72"/>
      <c r="B14" s="73"/>
      <c r="C14" s="73"/>
      <c r="D14" s="73"/>
      <c r="E14" s="73"/>
    </row>
    <row r="15" spans="1:5" x14ac:dyDescent="0.35">
      <c r="A15" s="72"/>
      <c r="B15" s="73"/>
      <c r="C15" s="73"/>
      <c r="D15" s="73"/>
      <c r="E15" s="73"/>
    </row>
    <row r="16" spans="1:5" x14ac:dyDescent="0.35">
      <c r="A16" s="72"/>
      <c r="B16" s="73"/>
      <c r="C16" s="73"/>
      <c r="D16" s="73"/>
      <c r="E16" s="73"/>
    </row>
    <row r="17" spans="1:5" x14ac:dyDescent="0.35">
      <c r="A17" s="72"/>
      <c r="B17" s="73"/>
      <c r="C17" s="73"/>
      <c r="D17" s="73"/>
      <c r="E17" s="73"/>
    </row>
    <row r="18" spans="1:5" x14ac:dyDescent="0.35">
      <c r="A18" s="72"/>
      <c r="B18" s="73"/>
      <c r="C18" s="73"/>
      <c r="D18" s="73"/>
      <c r="E18" s="73"/>
    </row>
    <row r="19" spans="1:5" x14ac:dyDescent="0.35">
      <c r="A19" s="72"/>
      <c r="B19" s="73"/>
      <c r="C19" s="73"/>
      <c r="D19" s="73"/>
      <c r="E19" s="73"/>
    </row>
    <row r="20" spans="1:5" x14ac:dyDescent="0.35">
      <c r="A20" s="72"/>
      <c r="B20" s="73"/>
      <c r="C20" s="73"/>
      <c r="D20" s="73"/>
      <c r="E20" s="73"/>
    </row>
    <row r="21" spans="1:5" x14ac:dyDescent="0.35">
      <c r="A21" s="72"/>
      <c r="B21" s="73"/>
      <c r="C21" s="73"/>
      <c r="D21" s="73"/>
      <c r="E21" s="73"/>
    </row>
    <row r="22" spans="1:5" x14ac:dyDescent="0.35">
      <c r="A22" s="72"/>
      <c r="B22" s="73"/>
      <c r="C22" s="73"/>
      <c r="D22" s="73"/>
      <c r="E22" s="73"/>
    </row>
    <row r="23" spans="1:5" x14ac:dyDescent="0.35">
      <c r="A23" s="72"/>
      <c r="B23" s="73"/>
      <c r="C23" s="73"/>
      <c r="D23" s="73"/>
      <c r="E23" s="73"/>
    </row>
    <row r="24" spans="1:5" x14ac:dyDescent="0.35">
      <c r="A24" s="72"/>
      <c r="B24" s="73"/>
      <c r="C24" s="73"/>
      <c r="D24" s="73"/>
      <c r="E24" s="73"/>
    </row>
    <row r="25" spans="1:5" x14ac:dyDescent="0.35">
      <c r="A25" s="72"/>
      <c r="B25" s="73"/>
      <c r="C25" s="73"/>
      <c r="D25" s="73"/>
      <c r="E25" s="73"/>
    </row>
    <row r="26" spans="1:5" x14ac:dyDescent="0.35">
      <c r="A26" s="72"/>
      <c r="B26" s="73"/>
      <c r="C26" s="73"/>
      <c r="D26" s="73"/>
      <c r="E26" s="73"/>
    </row>
    <row r="27" spans="1:5" x14ac:dyDescent="0.35">
      <c r="A27" s="72"/>
      <c r="B27" s="73"/>
      <c r="C27" s="73"/>
      <c r="D27" s="73"/>
      <c r="E27" s="73"/>
    </row>
    <row r="28" spans="1:5" x14ac:dyDescent="0.35">
      <c r="A28" s="72"/>
      <c r="B28" s="73"/>
      <c r="C28" s="73"/>
      <c r="D28" s="73"/>
      <c r="E28" s="73"/>
    </row>
    <row r="29" spans="1:5" x14ac:dyDescent="0.35">
      <c r="A29" s="72"/>
      <c r="B29" s="73"/>
      <c r="C29" s="73"/>
      <c r="D29" s="73"/>
      <c r="E29" s="73"/>
    </row>
    <row r="30" spans="1:5" x14ac:dyDescent="0.35">
      <c r="A30" s="72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zoomScale="92" zoomScaleNormal="92"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activeCell="G9" sqref="G9"/>
    </sheetView>
  </sheetViews>
  <sheetFormatPr defaultRowHeight="14.5" x14ac:dyDescent="0.35"/>
  <cols>
    <col min="1" max="1" width="13.81640625" style="47" customWidth="1"/>
    <col min="2" max="2" width="20.81640625" bestFit="1" customWidth="1"/>
    <col min="3" max="3" width="16.1796875" style="114" customWidth="1"/>
    <col min="4" max="4" width="14.54296875" customWidth="1"/>
    <col min="5" max="5" width="22.81640625" customWidth="1"/>
  </cols>
  <sheetData>
    <row r="1" spans="1:5" ht="18.5" x14ac:dyDescent="0.35">
      <c r="A1" s="449" t="s">
        <v>20</v>
      </c>
      <c r="B1" s="449"/>
      <c r="C1" s="449"/>
      <c r="D1" s="449"/>
      <c r="E1" s="449"/>
    </row>
    <row r="2" spans="1:5" x14ac:dyDescent="0.35">
      <c r="A2" s="195"/>
      <c r="B2" s="97"/>
      <c r="C2" s="192" t="s">
        <v>23</v>
      </c>
      <c r="D2" s="91">
        <f>SUM(D4:D36)</f>
        <v>750</v>
      </c>
      <c r="E2" s="64"/>
    </row>
    <row r="3" spans="1:5" x14ac:dyDescent="0.35">
      <c r="A3" s="92" t="s">
        <v>67</v>
      </c>
      <c r="B3" s="93" t="s">
        <v>68</v>
      </c>
      <c r="C3" s="193" t="s">
        <v>5</v>
      </c>
      <c r="D3" s="93" t="s">
        <v>56</v>
      </c>
      <c r="E3" s="93" t="s">
        <v>57</v>
      </c>
    </row>
    <row r="4" spans="1:5" x14ac:dyDescent="0.35">
      <c r="A4" s="72">
        <v>46055</v>
      </c>
      <c r="B4" s="259" t="s">
        <v>183</v>
      </c>
      <c r="C4" s="194" t="s">
        <v>135</v>
      </c>
      <c r="D4" s="76">
        <v>300</v>
      </c>
      <c r="E4" s="95" t="s">
        <v>182</v>
      </c>
    </row>
    <row r="5" spans="1:5" x14ac:dyDescent="0.35">
      <c r="A5" s="72">
        <v>46056</v>
      </c>
      <c r="B5" s="259" t="s">
        <v>184</v>
      </c>
      <c r="C5" s="194" t="s">
        <v>135</v>
      </c>
      <c r="D5" s="76">
        <v>60</v>
      </c>
      <c r="E5" s="95" t="s">
        <v>201</v>
      </c>
    </row>
    <row r="6" spans="1:5" x14ac:dyDescent="0.35">
      <c r="A6" s="72">
        <v>46058</v>
      </c>
      <c r="B6" s="94" t="s">
        <v>125</v>
      </c>
      <c r="C6" s="194" t="s">
        <v>135</v>
      </c>
      <c r="D6" s="76">
        <v>50</v>
      </c>
      <c r="E6" s="95" t="s">
        <v>200</v>
      </c>
    </row>
    <row r="7" spans="1:5" x14ac:dyDescent="0.35">
      <c r="A7" s="72">
        <v>46061</v>
      </c>
      <c r="B7" s="94" t="s">
        <v>184</v>
      </c>
      <c r="C7" s="194" t="s">
        <v>135</v>
      </c>
      <c r="D7" s="76">
        <v>50</v>
      </c>
      <c r="E7" s="95" t="s">
        <v>217</v>
      </c>
    </row>
    <row r="8" spans="1:5" x14ac:dyDescent="0.35">
      <c r="A8" s="72">
        <v>46063</v>
      </c>
      <c r="B8" s="96" t="s">
        <v>127</v>
      </c>
      <c r="C8" s="194" t="s">
        <v>135</v>
      </c>
      <c r="D8" s="55">
        <v>140</v>
      </c>
      <c r="E8" s="97" t="s">
        <v>222</v>
      </c>
    </row>
    <row r="9" spans="1:5" x14ac:dyDescent="0.35">
      <c r="A9" s="72">
        <v>46063</v>
      </c>
      <c r="B9" s="96" t="s">
        <v>127</v>
      </c>
      <c r="C9" s="12" t="s">
        <v>135</v>
      </c>
      <c r="D9" s="55">
        <v>150</v>
      </c>
      <c r="E9" s="97" t="s">
        <v>223</v>
      </c>
    </row>
    <row r="10" spans="1:5" x14ac:dyDescent="0.35">
      <c r="A10" s="195"/>
      <c r="B10" s="97"/>
      <c r="C10" s="12"/>
      <c r="D10" s="97"/>
      <c r="E10" s="97"/>
    </row>
    <row r="11" spans="1:5" x14ac:dyDescent="0.35">
      <c r="A11" s="195"/>
      <c r="B11" s="97"/>
      <c r="C11" s="12"/>
      <c r="D11" s="97"/>
      <c r="E11" s="97"/>
    </row>
    <row r="12" spans="1:5" x14ac:dyDescent="0.35">
      <c r="A12" s="195"/>
      <c r="B12" s="97"/>
      <c r="C12" s="12"/>
      <c r="D12" s="97"/>
      <c r="E12" s="97"/>
    </row>
    <row r="13" spans="1:5" x14ac:dyDescent="0.35">
      <c r="A13" s="195"/>
      <c r="B13" s="97"/>
      <c r="C13" s="12"/>
      <c r="D13" s="97"/>
      <c r="E13" s="97"/>
    </row>
    <row r="14" spans="1:5" x14ac:dyDescent="0.35">
      <c r="A14" s="195"/>
      <c r="B14" s="97"/>
      <c r="C14" s="12"/>
      <c r="D14" s="97"/>
      <c r="E14" s="97"/>
    </row>
    <row r="15" spans="1:5" x14ac:dyDescent="0.35">
      <c r="A15" s="195"/>
      <c r="B15" s="97"/>
      <c r="C15" s="12"/>
      <c r="D15" s="97"/>
      <c r="E15" s="97"/>
    </row>
    <row r="16" spans="1:5" x14ac:dyDescent="0.35">
      <c r="A16" s="195"/>
      <c r="B16" s="97"/>
      <c r="C16" s="12"/>
      <c r="D16" s="97"/>
      <c r="E16" s="97"/>
    </row>
    <row r="17" spans="1:5" x14ac:dyDescent="0.35">
      <c r="A17" s="195"/>
      <c r="B17" s="97"/>
      <c r="C17" s="12"/>
      <c r="D17" s="97"/>
      <c r="E17" s="97"/>
    </row>
    <row r="18" spans="1:5" x14ac:dyDescent="0.35">
      <c r="A18" s="195"/>
      <c r="B18" s="97"/>
      <c r="C18" s="12"/>
      <c r="D18" s="97"/>
      <c r="E18" s="97"/>
    </row>
    <row r="19" spans="1:5" x14ac:dyDescent="0.35">
      <c r="A19" s="195"/>
      <c r="B19" s="97"/>
      <c r="C19" s="12"/>
      <c r="D19" s="97"/>
      <c r="E19" s="97"/>
    </row>
    <row r="20" spans="1:5" x14ac:dyDescent="0.35">
      <c r="A20" s="195"/>
      <c r="B20" s="97"/>
      <c r="C20" s="12"/>
      <c r="D20" s="97"/>
      <c r="E20" s="97"/>
    </row>
    <row r="21" spans="1:5" x14ac:dyDescent="0.35">
      <c r="A21" s="195"/>
      <c r="B21" s="97"/>
      <c r="C21" s="12"/>
      <c r="D21" s="97"/>
      <c r="E21" s="97"/>
    </row>
    <row r="22" spans="1:5" x14ac:dyDescent="0.35">
      <c r="A22" s="195"/>
      <c r="B22" s="97"/>
      <c r="C22" s="12"/>
      <c r="D22" s="97"/>
      <c r="E22" s="97"/>
    </row>
    <row r="23" spans="1:5" x14ac:dyDescent="0.35">
      <c r="A23" s="195"/>
      <c r="B23" s="97"/>
      <c r="C23" s="12"/>
      <c r="D23" s="97"/>
      <c r="E23" s="97"/>
    </row>
    <row r="24" spans="1:5" x14ac:dyDescent="0.35">
      <c r="A24" s="195"/>
      <c r="B24" s="97"/>
      <c r="C24" s="12"/>
      <c r="D24" s="97"/>
      <c r="E24" s="97"/>
    </row>
    <row r="25" spans="1:5" x14ac:dyDescent="0.35">
      <c r="A25" s="195"/>
      <c r="B25" s="97"/>
      <c r="C25" s="12"/>
      <c r="D25" s="97"/>
      <c r="E25" s="97"/>
    </row>
    <row r="26" spans="1:5" x14ac:dyDescent="0.35">
      <c r="A26" s="195"/>
      <c r="B26" s="97"/>
      <c r="C26" s="12"/>
      <c r="D26" s="97"/>
      <c r="E26" s="97"/>
    </row>
    <row r="27" spans="1:5" x14ac:dyDescent="0.35">
      <c r="A27" s="195"/>
      <c r="B27" s="97"/>
      <c r="C27" s="12"/>
      <c r="D27" s="97"/>
      <c r="E27" s="97"/>
    </row>
    <row r="28" spans="1:5" x14ac:dyDescent="0.35">
      <c r="A28" s="195"/>
      <c r="B28" s="97"/>
      <c r="C28" s="12"/>
      <c r="D28" s="97"/>
      <c r="E28" s="97"/>
    </row>
    <row r="29" spans="1:5" x14ac:dyDescent="0.35">
      <c r="A29" s="195"/>
      <c r="B29" s="97"/>
      <c r="C29" s="12"/>
      <c r="D29" s="97"/>
      <c r="E29" s="97"/>
    </row>
    <row r="30" spans="1:5" x14ac:dyDescent="0.35">
      <c r="A30" s="195"/>
      <c r="B30" s="97"/>
      <c r="C30" s="12"/>
      <c r="D30" s="97"/>
      <c r="E30" s="97"/>
    </row>
    <row r="31" spans="1:5" x14ac:dyDescent="0.35">
      <c r="A31" s="195"/>
      <c r="B31" s="97"/>
      <c r="C31" s="12"/>
      <c r="D31" s="97"/>
      <c r="E31" s="97"/>
    </row>
    <row r="32" spans="1:5" x14ac:dyDescent="0.35">
      <c r="A32" s="195"/>
      <c r="B32" s="97"/>
      <c r="C32" s="12"/>
      <c r="D32" s="97"/>
      <c r="E32" s="97"/>
    </row>
    <row r="33" spans="1:5" x14ac:dyDescent="0.35">
      <c r="A33" s="195"/>
      <c r="B33" s="97"/>
      <c r="C33" s="12"/>
      <c r="D33" s="97"/>
      <c r="E33" s="97"/>
    </row>
    <row r="34" spans="1:5" x14ac:dyDescent="0.35">
      <c r="A34" s="195"/>
      <c r="B34" s="97"/>
      <c r="C34" s="12"/>
      <c r="D34" s="97"/>
      <c r="E34" s="97"/>
    </row>
    <row r="35" spans="1:5" x14ac:dyDescent="0.35">
      <c r="A35" s="195"/>
      <c r="B35" s="97"/>
      <c r="C35" s="12"/>
      <c r="D35" s="97"/>
      <c r="E35" s="97"/>
    </row>
    <row r="36" spans="1:5" x14ac:dyDescent="0.35">
      <c r="A36" s="195"/>
      <c r="B36" s="97"/>
      <c r="C36" s="12"/>
      <c r="D36" s="97"/>
      <c r="E36" s="9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4.5" x14ac:dyDescent="0.35"/>
  <cols>
    <col min="1" max="1" width="13.81640625" customWidth="1"/>
    <col min="2" max="2" width="18.81640625" customWidth="1"/>
    <col min="3" max="3" width="15.453125" customWidth="1"/>
    <col min="4" max="4" width="13.81640625" customWidth="1"/>
    <col min="5" max="5" width="14" customWidth="1"/>
  </cols>
  <sheetData>
    <row r="1" spans="1:5" ht="18.5" x14ac:dyDescent="0.35">
      <c r="A1" s="448" t="s">
        <v>70</v>
      </c>
      <c r="B1" s="448"/>
      <c r="C1" s="448"/>
      <c r="D1" s="448"/>
      <c r="E1" s="448"/>
    </row>
    <row r="2" spans="1:5" x14ac:dyDescent="0.35">
      <c r="A2" s="65"/>
      <c r="B2" s="65"/>
      <c r="C2" s="98" t="s">
        <v>23</v>
      </c>
      <c r="D2" s="98">
        <f>SUM(D4:D30)</f>
        <v>0</v>
      </c>
      <c r="E2" s="65"/>
    </row>
    <row r="3" spans="1:5" x14ac:dyDescent="0.35">
      <c r="A3" s="99" t="s">
        <v>36</v>
      </c>
      <c r="B3" s="99" t="s">
        <v>68</v>
      </c>
      <c r="C3" s="99" t="s">
        <v>5</v>
      </c>
      <c r="D3" s="99" t="s">
        <v>56</v>
      </c>
      <c r="E3" s="99" t="s">
        <v>57</v>
      </c>
    </row>
    <row r="4" spans="1:5" x14ac:dyDescent="0.35">
      <c r="A4" s="217"/>
      <c r="B4" s="73"/>
      <c r="C4" s="73"/>
      <c r="D4" s="73"/>
      <c r="E4" s="73"/>
    </row>
    <row r="5" spans="1:5" x14ac:dyDescent="0.35">
      <c r="A5" s="217"/>
      <c r="B5" s="73"/>
      <c r="C5" s="73"/>
      <c r="D5" s="73"/>
      <c r="E5" s="73"/>
    </row>
    <row r="6" spans="1:5" x14ac:dyDescent="0.35">
      <c r="A6" s="217"/>
      <c r="B6" s="73"/>
      <c r="C6" s="73"/>
      <c r="D6" s="73"/>
      <c r="E6" s="73"/>
    </row>
    <row r="7" spans="1:5" x14ac:dyDescent="0.35">
      <c r="A7" s="217"/>
      <c r="B7" s="73"/>
      <c r="C7" s="73"/>
      <c r="D7" s="73"/>
      <c r="E7" s="73"/>
    </row>
    <row r="8" spans="1:5" x14ac:dyDescent="0.35">
      <c r="A8" s="217"/>
      <c r="B8" s="73"/>
      <c r="C8" s="73"/>
      <c r="D8" s="73"/>
      <c r="E8" s="73"/>
    </row>
    <row r="9" spans="1:5" x14ac:dyDescent="0.35">
      <c r="A9" s="73"/>
      <c r="B9" s="73"/>
      <c r="C9" s="73"/>
      <c r="D9" s="73"/>
      <c r="E9" s="73"/>
    </row>
    <row r="10" spans="1:5" x14ac:dyDescent="0.35">
      <c r="A10" s="73"/>
      <c r="B10" s="73"/>
      <c r="C10" s="73"/>
      <c r="D10" s="73"/>
      <c r="E10" s="73"/>
    </row>
    <row r="11" spans="1:5" x14ac:dyDescent="0.35">
      <c r="A11" s="73"/>
      <c r="B11" s="73"/>
      <c r="C11" s="73"/>
      <c r="D11" s="73"/>
      <c r="E11" s="73"/>
    </row>
    <row r="12" spans="1:5" x14ac:dyDescent="0.35">
      <c r="A12" s="73"/>
      <c r="B12" s="73"/>
      <c r="C12" s="73"/>
      <c r="D12" s="73"/>
      <c r="E12" s="73"/>
    </row>
    <row r="13" spans="1:5" x14ac:dyDescent="0.35">
      <c r="A13" s="73"/>
      <c r="B13" s="73"/>
      <c r="C13" s="73"/>
      <c r="D13" s="73"/>
      <c r="E13" s="73"/>
    </row>
    <row r="14" spans="1:5" x14ac:dyDescent="0.35">
      <c r="A14" s="73"/>
      <c r="B14" s="73"/>
      <c r="C14" s="73"/>
      <c r="D14" s="73"/>
      <c r="E14" s="73"/>
    </row>
    <row r="15" spans="1:5" x14ac:dyDescent="0.35">
      <c r="A15" s="73"/>
      <c r="B15" s="73"/>
      <c r="C15" s="73"/>
      <c r="D15" s="73"/>
      <c r="E15" s="73"/>
    </row>
    <row r="16" spans="1:5" x14ac:dyDescent="0.35">
      <c r="A16" s="73"/>
      <c r="B16" s="73"/>
      <c r="C16" s="73"/>
      <c r="D16" s="73"/>
      <c r="E16" s="73"/>
    </row>
    <row r="17" spans="1:5" x14ac:dyDescent="0.35">
      <c r="A17" s="73"/>
      <c r="B17" s="73"/>
      <c r="C17" s="73"/>
      <c r="D17" s="73"/>
      <c r="E17" s="73"/>
    </row>
    <row r="18" spans="1:5" x14ac:dyDescent="0.35">
      <c r="A18" s="73"/>
      <c r="B18" s="73"/>
      <c r="C18" s="73"/>
      <c r="D18" s="73"/>
      <c r="E18" s="73"/>
    </row>
    <row r="19" spans="1:5" x14ac:dyDescent="0.35">
      <c r="A19" s="73"/>
      <c r="B19" s="73"/>
      <c r="C19" s="73"/>
      <c r="D19" s="73"/>
      <c r="E19" s="73"/>
    </row>
    <row r="20" spans="1:5" x14ac:dyDescent="0.35">
      <c r="A20" s="73"/>
      <c r="B20" s="73"/>
      <c r="C20" s="73"/>
      <c r="D20" s="73"/>
      <c r="E20" s="73"/>
    </row>
    <row r="21" spans="1:5" x14ac:dyDescent="0.35">
      <c r="A21" s="73"/>
      <c r="B21" s="73"/>
      <c r="C21" s="73"/>
      <c r="D21" s="73"/>
      <c r="E21" s="73"/>
    </row>
    <row r="22" spans="1:5" x14ac:dyDescent="0.35">
      <c r="A22" s="73"/>
      <c r="B22" s="73"/>
      <c r="C22" s="73"/>
      <c r="D22" s="73"/>
      <c r="E22" s="73"/>
    </row>
    <row r="23" spans="1:5" x14ac:dyDescent="0.35">
      <c r="A23" s="73"/>
      <c r="B23" s="73"/>
      <c r="C23" s="73"/>
      <c r="D23" s="73"/>
      <c r="E23" s="73"/>
    </row>
    <row r="24" spans="1:5" x14ac:dyDescent="0.35">
      <c r="A24" s="73"/>
      <c r="B24" s="73"/>
      <c r="C24" s="73"/>
      <c r="D24" s="73"/>
      <c r="E24" s="73"/>
    </row>
    <row r="25" spans="1:5" x14ac:dyDescent="0.35">
      <c r="A25" s="73"/>
      <c r="B25" s="73"/>
      <c r="C25" s="73"/>
      <c r="D25" s="73"/>
      <c r="E25" s="73"/>
    </row>
    <row r="26" spans="1:5" x14ac:dyDescent="0.35">
      <c r="A26" s="73"/>
      <c r="B26" s="73"/>
      <c r="C26" s="73"/>
      <c r="D26" s="73"/>
      <c r="E26" s="73"/>
    </row>
    <row r="27" spans="1:5" x14ac:dyDescent="0.35">
      <c r="A27" s="73"/>
      <c r="B27" s="73"/>
      <c r="C27" s="73"/>
      <c r="D27" s="73"/>
      <c r="E27" s="73"/>
    </row>
    <row r="28" spans="1:5" x14ac:dyDescent="0.35">
      <c r="A28" s="73"/>
      <c r="B28" s="73"/>
      <c r="C28" s="73"/>
      <c r="D28" s="73"/>
      <c r="E28" s="73"/>
    </row>
    <row r="29" spans="1:5" x14ac:dyDescent="0.35">
      <c r="A29" s="73"/>
      <c r="B29" s="73"/>
      <c r="C29" s="73"/>
      <c r="D29" s="73"/>
      <c r="E29" s="73"/>
    </row>
    <row r="30" spans="1:5" x14ac:dyDescent="0.35">
      <c r="A30" s="73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4.5" x14ac:dyDescent="0.35"/>
  <cols>
    <col min="1" max="1" width="3.54296875" customWidth="1"/>
    <col min="2" max="2" width="24.54296875" customWidth="1"/>
    <col min="3" max="19" width="3.7265625" customWidth="1"/>
    <col min="20" max="20" width="5" bestFit="1" customWidth="1"/>
    <col min="21" max="27" width="3.7265625" customWidth="1"/>
    <col min="28" max="28" width="5" bestFit="1" customWidth="1"/>
    <col min="29" max="33" width="3.7265625" customWidth="1"/>
    <col min="34" max="34" width="9.7265625" customWidth="1"/>
  </cols>
  <sheetData>
    <row r="1" spans="1:34" x14ac:dyDescent="0.3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100" t="s">
        <v>71</v>
      </c>
      <c r="X1" s="9"/>
      <c r="Y1" s="9"/>
      <c r="Z1" s="9"/>
      <c r="AA1" s="77"/>
      <c r="AB1" s="77"/>
      <c r="AC1" s="77"/>
      <c r="AD1" s="77"/>
      <c r="AE1" s="77"/>
      <c r="AF1" s="77"/>
      <c r="AG1" s="77"/>
      <c r="AH1" s="77"/>
    </row>
    <row r="2" spans="1:34" x14ac:dyDescent="0.35">
      <c r="A2" s="77"/>
      <c r="B2" s="90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 x14ac:dyDescent="0.35">
      <c r="A3" s="100"/>
      <c r="B3" s="101" t="s">
        <v>73</v>
      </c>
      <c r="C3" s="101">
        <v>1</v>
      </c>
      <c r="D3" s="101">
        <v>2</v>
      </c>
      <c r="E3" s="101">
        <v>3</v>
      </c>
      <c r="F3" s="101">
        <v>4</v>
      </c>
      <c r="G3" s="101">
        <v>5</v>
      </c>
      <c r="H3" s="101">
        <v>6</v>
      </c>
      <c r="I3" s="101">
        <v>7</v>
      </c>
      <c r="J3" s="101">
        <v>8</v>
      </c>
      <c r="K3" s="101">
        <v>9</v>
      </c>
      <c r="L3" s="101">
        <v>10</v>
      </c>
      <c r="M3" s="101">
        <v>11</v>
      </c>
      <c r="N3" s="101">
        <v>12</v>
      </c>
      <c r="O3" s="101">
        <v>13</v>
      </c>
      <c r="P3" s="101">
        <v>14</v>
      </c>
      <c r="Q3" s="101">
        <v>15</v>
      </c>
      <c r="R3" s="101">
        <v>16</v>
      </c>
      <c r="S3" s="101">
        <v>17</v>
      </c>
      <c r="T3" s="101">
        <v>18</v>
      </c>
      <c r="U3" s="101">
        <v>19</v>
      </c>
      <c r="V3" s="101">
        <v>20</v>
      </c>
      <c r="W3" s="101">
        <v>21</v>
      </c>
      <c r="X3" s="101">
        <v>22</v>
      </c>
      <c r="Y3" s="101">
        <v>23</v>
      </c>
      <c r="Z3" s="101">
        <v>24</v>
      </c>
      <c r="AA3" s="101">
        <v>25</v>
      </c>
      <c r="AB3" s="101">
        <v>26</v>
      </c>
      <c r="AC3" s="101">
        <v>27</v>
      </c>
      <c r="AD3" s="101">
        <v>28</v>
      </c>
      <c r="AE3" s="101">
        <v>29</v>
      </c>
      <c r="AF3" s="101">
        <v>30</v>
      </c>
      <c r="AG3" s="101">
        <v>31</v>
      </c>
      <c r="AH3" s="101" t="s">
        <v>23</v>
      </c>
    </row>
    <row r="4" spans="1:34" x14ac:dyDescent="0.35">
      <c r="A4" s="77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35">
      <c r="A5" s="77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35">
      <c r="A6" s="77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35">
      <c r="A7" s="77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35">
      <c r="A8" s="77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35">
      <c r="A9" s="77"/>
      <c r="B9" s="54"/>
      <c r="C9" s="102">
        <f>SUM(C4:C8)</f>
        <v>0</v>
      </c>
      <c r="D9" s="102">
        <f t="shared" ref="D9:Q9" si="0">SUM(D4:D8)</f>
        <v>0</v>
      </c>
      <c r="E9" s="102">
        <f t="shared" si="0"/>
        <v>0</v>
      </c>
      <c r="F9" s="102">
        <f t="shared" si="0"/>
        <v>0</v>
      </c>
      <c r="G9" s="102">
        <f t="shared" si="0"/>
        <v>0</v>
      </c>
      <c r="H9" s="102">
        <f t="shared" si="0"/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2">
        <f t="shared" si="0"/>
        <v>0</v>
      </c>
      <c r="O9" s="102">
        <f t="shared" si="0"/>
        <v>0</v>
      </c>
      <c r="P9" s="102">
        <f t="shared" si="0"/>
        <v>0</v>
      </c>
      <c r="Q9" s="102">
        <f t="shared" si="0"/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spans="1:34" x14ac:dyDescent="0.35">
      <c r="A10" s="7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4.5" x14ac:dyDescent="0.35"/>
  <cols>
    <col min="2" max="2" width="9.7265625" style="143" bestFit="1" customWidth="1"/>
    <col min="3" max="3" width="22" customWidth="1"/>
    <col min="4" max="4" width="16" customWidth="1"/>
    <col min="5" max="5" width="20.453125" customWidth="1"/>
    <col min="8" max="8" width="13.7265625" customWidth="1"/>
    <col min="9" max="9" width="27.7265625" customWidth="1"/>
    <col min="10" max="10" width="16.26953125" customWidth="1"/>
    <col min="11" max="11" width="16" customWidth="1"/>
  </cols>
  <sheetData>
    <row r="1" spans="1:11" ht="21" x14ac:dyDescent="0.35">
      <c r="A1" s="455" t="s">
        <v>0</v>
      </c>
      <c r="B1" s="456"/>
      <c r="C1" s="456"/>
      <c r="D1" s="456"/>
      <c r="E1" s="457"/>
      <c r="G1" s="455" t="s">
        <v>0</v>
      </c>
      <c r="H1" s="456"/>
      <c r="I1" s="456"/>
      <c r="J1" s="456"/>
      <c r="K1" s="457"/>
    </row>
    <row r="2" spans="1:11" x14ac:dyDescent="0.35">
      <c r="A2" s="408"/>
      <c r="B2" s="401"/>
      <c r="C2" s="401"/>
      <c r="D2" s="401"/>
      <c r="E2" s="409"/>
      <c r="G2" s="408"/>
      <c r="H2" s="401"/>
      <c r="I2" s="401"/>
      <c r="J2" s="401"/>
      <c r="K2" s="409"/>
    </row>
    <row r="3" spans="1:11" ht="15.5" x14ac:dyDescent="0.35">
      <c r="A3" s="450" t="s">
        <v>76</v>
      </c>
      <c r="B3" s="451"/>
      <c r="C3" s="103" t="s">
        <v>114</v>
      </c>
      <c r="D3" s="103"/>
      <c r="E3" s="104"/>
      <c r="G3" s="224" t="s">
        <v>132</v>
      </c>
      <c r="H3" s="103"/>
      <c r="I3" s="103"/>
      <c r="J3" s="103"/>
      <c r="K3" s="104"/>
    </row>
    <row r="4" spans="1:11" x14ac:dyDescent="0.35">
      <c r="A4" s="105"/>
      <c r="E4" s="106"/>
      <c r="G4" s="105"/>
      <c r="K4" s="106"/>
    </row>
    <row r="5" spans="1:11" x14ac:dyDescent="0.35">
      <c r="A5" s="107" t="s">
        <v>77</v>
      </c>
      <c r="B5" s="178" t="s">
        <v>36</v>
      </c>
      <c r="C5" s="108" t="s">
        <v>55</v>
      </c>
      <c r="D5" s="108" t="s">
        <v>62</v>
      </c>
      <c r="E5" s="109" t="s">
        <v>56</v>
      </c>
      <c r="G5" s="107" t="s">
        <v>77</v>
      </c>
      <c r="H5" s="108" t="s">
        <v>36</v>
      </c>
      <c r="I5" s="108" t="s">
        <v>55</v>
      </c>
      <c r="J5" s="108" t="s">
        <v>62</v>
      </c>
      <c r="K5" s="109" t="s">
        <v>56</v>
      </c>
    </row>
    <row r="6" spans="1:11" x14ac:dyDescent="0.35">
      <c r="A6" s="110">
        <v>1</v>
      </c>
      <c r="B6" s="147"/>
      <c r="C6" s="111"/>
      <c r="D6" s="111"/>
      <c r="E6" s="112"/>
      <c r="G6" s="110">
        <v>1</v>
      </c>
      <c r="H6" s="223"/>
      <c r="I6" s="111"/>
      <c r="J6" s="111"/>
      <c r="K6" s="112"/>
    </row>
    <row r="7" spans="1:11" x14ac:dyDescent="0.35">
      <c r="A7" s="110">
        <v>2</v>
      </c>
      <c r="B7" s="147"/>
      <c r="C7" s="111"/>
      <c r="D7" s="111"/>
      <c r="E7" s="112"/>
      <c r="G7" s="110"/>
      <c r="H7" s="111"/>
      <c r="I7" s="111"/>
      <c r="J7" s="111"/>
      <c r="K7" s="112"/>
    </row>
    <row r="8" spans="1:11" ht="15.5" x14ac:dyDescent="0.35">
      <c r="A8" s="110">
        <v>3</v>
      </c>
      <c r="B8" s="147"/>
      <c r="C8" s="111"/>
      <c r="D8" s="111"/>
      <c r="E8" s="112"/>
      <c r="G8" s="458" t="s">
        <v>23</v>
      </c>
      <c r="H8" s="459"/>
      <c r="I8" s="459"/>
      <c r="J8" s="460"/>
      <c r="K8" s="112"/>
    </row>
    <row r="9" spans="1:11" x14ac:dyDescent="0.35">
      <c r="A9" s="110">
        <v>4</v>
      </c>
      <c r="B9" s="147"/>
      <c r="C9" s="111"/>
      <c r="D9" s="111"/>
      <c r="E9" s="112"/>
      <c r="G9" s="105"/>
      <c r="K9" s="106"/>
    </row>
    <row r="10" spans="1:11" x14ac:dyDescent="0.35">
      <c r="A10" s="110">
        <v>5</v>
      </c>
      <c r="B10" s="147"/>
      <c r="C10" s="111"/>
      <c r="D10" s="111"/>
      <c r="E10" s="112"/>
      <c r="G10" s="113"/>
      <c r="H10" s="114"/>
      <c r="I10" s="114"/>
      <c r="J10" s="114"/>
      <c r="K10" s="115"/>
    </row>
    <row r="11" spans="1:11" x14ac:dyDescent="0.35">
      <c r="A11" s="110">
        <v>6</v>
      </c>
      <c r="B11" s="147"/>
      <c r="C11" s="111"/>
      <c r="D11" s="111"/>
      <c r="E11" s="112"/>
      <c r="G11" s="116" t="s">
        <v>78</v>
      </c>
      <c r="H11" s="47"/>
      <c r="I11" s="47" t="s">
        <v>79</v>
      </c>
      <c r="J11" s="47" t="s">
        <v>80</v>
      </c>
      <c r="K11" s="117"/>
    </row>
    <row r="12" spans="1:11" ht="16" thickBot="1" x14ac:dyDescent="0.4">
      <c r="A12" s="458" t="s">
        <v>23</v>
      </c>
      <c r="B12" s="459"/>
      <c r="C12" s="459"/>
      <c r="D12" s="460"/>
      <c r="E12" s="112">
        <f>SUM(E6:E11)</f>
        <v>0</v>
      </c>
      <c r="G12" s="118" t="s">
        <v>30</v>
      </c>
      <c r="H12" s="119"/>
      <c r="I12" s="119" t="s">
        <v>81</v>
      </c>
      <c r="J12" s="119" t="s">
        <v>82</v>
      </c>
      <c r="K12" s="120"/>
    </row>
    <row r="13" spans="1:11" x14ac:dyDescent="0.35">
      <c r="A13" s="105"/>
      <c r="E13" s="106"/>
    </row>
    <row r="14" spans="1:11" ht="15" thickBot="1" x14ac:dyDescent="0.4">
      <c r="A14" s="113"/>
      <c r="B14" s="179"/>
      <c r="C14" s="114"/>
      <c r="D14" s="114"/>
      <c r="E14" s="115"/>
    </row>
    <row r="15" spans="1:11" ht="21" x14ac:dyDescent="0.35">
      <c r="A15" s="116" t="s">
        <v>78</v>
      </c>
      <c r="B15" s="180"/>
      <c r="C15" s="47" t="s">
        <v>79</v>
      </c>
      <c r="D15" s="47" t="s">
        <v>80</v>
      </c>
      <c r="E15" s="117"/>
      <c r="G15" s="455" t="s">
        <v>0</v>
      </c>
      <c r="H15" s="456"/>
      <c r="I15" s="456"/>
      <c r="J15" s="456"/>
      <c r="K15" s="457"/>
    </row>
    <row r="16" spans="1:11" ht="16" thickBot="1" x14ac:dyDescent="0.4">
      <c r="A16" s="118" t="s">
        <v>30</v>
      </c>
      <c r="B16" s="181"/>
      <c r="C16" s="119" t="s">
        <v>81</v>
      </c>
      <c r="D16" s="119" t="s">
        <v>82</v>
      </c>
      <c r="E16" s="120"/>
      <c r="G16" s="408"/>
      <c r="H16" s="401"/>
      <c r="I16" s="401"/>
      <c r="J16" s="401"/>
      <c r="K16" s="409"/>
    </row>
    <row r="17" spans="1:11" ht="15.5" x14ac:dyDescent="0.35">
      <c r="G17" s="450" t="s">
        <v>76</v>
      </c>
      <c r="H17" s="451"/>
      <c r="I17" s="103"/>
      <c r="J17" s="103"/>
      <c r="K17" s="104"/>
    </row>
    <row r="18" spans="1:11" ht="15" thickBot="1" x14ac:dyDescent="0.4">
      <c r="G18" s="105"/>
      <c r="K18" s="106"/>
    </row>
    <row r="19" spans="1:11" ht="21" x14ac:dyDescent="0.35">
      <c r="A19" s="455" t="s">
        <v>0</v>
      </c>
      <c r="B19" s="456"/>
      <c r="C19" s="456"/>
      <c r="D19" s="456"/>
      <c r="E19" s="457"/>
      <c r="G19" s="121" t="s">
        <v>77</v>
      </c>
      <c r="H19" s="48" t="s">
        <v>36</v>
      </c>
      <c r="I19" s="48" t="s">
        <v>55</v>
      </c>
      <c r="J19" s="48" t="s">
        <v>62</v>
      </c>
      <c r="K19" s="122" t="s">
        <v>56</v>
      </c>
    </row>
    <row r="20" spans="1:11" x14ac:dyDescent="0.35">
      <c r="A20" s="408"/>
      <c r="B20" s="401"/>
      <c r="C20" s="401"/>
      <c r="D20" s="401"/>
      <c r="E20" s="409"/>
      <c r="G20" s="110">
        <v>1</v>
      </c>
      <c r="H20" s="111"/>
      <c r="I20" s="111"/>
      <c r="J20" s="111"/>
      <c r="K20" s="112"/>
    </row>
    <row r="21" spans="1:11" ht="15.5" x14ac:dyDescent="0.35">
      <c r="A21" s="450" t="s">
        <v>76</v>
      </c>
      <c r="B21" s="451"/>
      <c r="C21" s="103"/>
      <c r="D21" s="103"/>
      <c r="E21" s="104"/>
      <c r="G21" s="110">
        <v>2</v>
      </c>
      <c r="H21" s="111"/>
      <c r="I21" s="111"/>
      <c r="J21" s="111"/>
      <c r="K21" s="112"/>
    </row>
    <row r="22" spans="1:11" x14ac:dyDescent="0.35">
      <c r="A22" s="105"/>
      <c r="E22" s="106"/>
      <c r="G22" s="110">
        <v>3</v>
      </c>
      <c r="H22" s="111"/>
      <c r="I22" s="111"/>
      <c r="J22" s="111"/>
      <c r="K22" s="112"/>
    </row>
    <row r="23" spans="1:11" x14ac:dyDescent="0.35">
      <c r="A23" s="121" t="s">
        <v>77</v>
      </c>
      <c r="B23" s="182" t="s">
        <v>36</v>
      </c>
      <c r="C23" s="48" t="s">
        <v>55</v>
      </c>
      <c r="D23" s="48" t="s">
        <v>62</v>
      </c>
      <c r="E23" s="122" t="s">
        <v>56</v>
      </c>
      <c r="G23" s="110">
        <v>4</v>
      </c>
      <c r="H23" s="111"/>
      <c r="I23" s="111"/>
      <c r="J23" s="111"/>
      <c r="K23" s="112"/>
    </row>
    <row r="24" spans="1:11" x14ac:dyDescent="0.35">
      <c r="A24" s="110">
        <v>1</v>
      </c>
      <c r="B24" s="147"/>
      <c r="C24" s="111"/>
      <c r="D24" s="111"/>
      <c r="E24" s="112"/>
      <c r="G24" s="110">
        <v>5</v>
      </c>
      <c r="H24" s="111"/>
      <c r="I24" s="111"/>
      <c r="J24" s="111"/>
      <c r="K24" s="112"/>
    </row>
    <row r="25" spans="1:11" x14ac:dyDescent="0.35">
      <c r="A25" s="110">
        <v>2</v>
      </c>
      <c r="B25" s="147"/>
      <c r="C25" s="111"/>
      <c r="D25" s="111"/>
      <c r="E25" s="112"/>
      <c r="G25" s="110">
        <v>6</v>
      </c>
      <c r="H25" s="111"/>
      <c r="I25" s="111"/>
      <c r="J25" s="111"/>
      <c r="K25" s="112"/>
    </row>
    <row r="26" spans="1:11" x14ac:dyDescent="0.35">
      <c r="A26" s="110">
        <v>3</v>
      </c>
      <c r="B26" s="147"/>
      <c r="C26" s="111"/>
      <c r="D26" s="111"/>
      <c r="E26" s="112"/>
      <c r="G26" s="452" t="s">
        <v>23</v>
      </c>
      <c r="H26" s="453"/>
      <c r="I26" s="453"/>
      <c r="J26" s="454"/>
      <c r="K26" s="112"/>
    </row>
    <row r="27" spans="1:11" x14ac:dyDescent="0.35">
      <c r="A27" s="110">
        <v>4</v>
      </c>
      <c r="B27" s="147"/>
      <c r="C27" s="111"/>
      <c r="D27" s="111"/>
      <c r="E27" s="112"/>
      <c r="G27" s="105"/>
      <c r="K27" s="106"/>
    </row>
    <row r="28" spans="1:11" x14ac:dyDescent="0.35">
      <c r="A28" s="110">
        <v>5</v>
      </c>
      <c r="B28" s="147"/>
      <c r="C28" s="111"/>
      <c r="D28" s="111"/>
      <c r="E28" s="112"/>
      <c r="G28" s="105"/>
      <c r="K28" s="106"/>
    </row>
    <row r="29" spans="1:11" x14ac:dyDescent="0.35">
      <c r="A29" s="110">
        <v>6</v>
      </c>
      <c r="B29" s="147"/>
      <c r="C29" s="111"/>
      <c r="D29" s="111"/>
      <c r="E29" s="112"/>
      <c r="G29" s="113"/>
      <c r="H29" s="114"/>
      <c r="I29" s="114"/>
      <c r="J29" s="114"/>
      <c r="K29" s="115"/>
    </row>
    <row r="30" spans="1:11" x14ac:dyDescent="0.35">
      <c r="A30" s="452" t="s">
        <v>23</v>
      </c>
      <c r="B30" s="453"/>
      <c r="C30" s="453"/>
      <c r="D30" s="454"/>
      <c r="E30" s="112"/>
      <c r="G30" s="116" t="s">
        <v>78</v>
      </c>
      <c r="H30" s="47"/>
      <c r="I30" s="47" t="s">
        <v>79</v>
      </c>
      <c r="J30" s="47" t="s">
        <v>80</v>
      </c>
      <c r="K30" s="117"/>
    </row>
    <row r="31" spans="1:11" ht="16" thickBot="1" x14ac:dyDescent="0.4">
      <c r="A31" s="105"/>
      <c r="E31" s="106"/>
      <c r="G31" s="118" t="s">
        <v>30</v>
      </c>
      <c r="H31" s="119"/>
      <c r="I31" s="119" t="s">
        <v>81</v>
      </c>
      <c r="J31" s="119" t="s">
        <v>82</v>
      </c>
      <c r="K31" s="120"/>
    </row>
    <row r="32" spans="1:11" x14ac:dyDescent="0.35">
      <c r="A32" s="105"/>
      <c r="E32" s="106"/>
    </row>
    <row r="33" spans="1:5" x14ac:dyDescent="0.35">
      <c r="A33" s="113"/>
      <c r="B33" s="179"/>
      <c r="C33" s="114"/>
      <c r="D33" s="114"/>
      <c r="E33" s="115"/>
    </row>
    <row r="34" spans="1:5" x14ac:dyDescent="0.35">
      <c r="A34" s="116" t="s">
        <v>78</v>
      </c>
      <c r="B34" s="180"/>
      <c r="C34" s="47" t="s">
        <v>79</v>
      </c>
      <c r="D34" s="47" t="s">
        <v>80</v>
      </c>
      <c r="E34" s="117"/>
    </row>
    <row r="35" spans="1:5" ht="16" thickBot="1" x14ac:dyDescent="0.4">
      <c r="A35" s="118" t="s">
        <v>30</v>
      </c>
      <c r="B35" s="181"/>
      <c r="C35" s="119" t="s">
        <v>81</v>
      </c>
      <c r="D35" s="119" t="s">
        <v>82</v>
      </c>
      <c r="E35" s="120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3"/>
  <sheetViews>
    <sheetView tabSelected="1" zoomScaleNormal="100" workbookViewId="0">
      <selection activeCell="C14" sqref="C14:E14"/>
    </sheetView>
  </sheetViews>
  <sheetFormatPr defaultRowHeight="14.5" x14ac:dyDescent="0.35"/>
  <cols>
    <col min="1" max="1" width="7.7265625" customWidth="1"/>
    <col min="2" max="2" width="14.1796875" style="143" customWidth="1"/>
    <col min="3" max="3" width="22.81640625" style="151" customWidth="1"/>
    <col min="4" max="4" width="19.81640625" customWidth="1"/>
    <col min="5" max="5" width="9.1796875" style="185"/>
    <col min="6" max="6" width="16" bestFit="1" customWidth="1"/>
    <col min="9" max="9" width="11.7265625" customWidth="1"/>
    <col min="10" max="10" width="19.54296875" customWidth="1"/>
    <col min="11" max="11" width="18.1796875" bestFit="1" customWidth="1"/>
    <col min="12" max="12" width="8.1796875" bestFit="1" customWidth="1"/>
    <col min="13" max="13" width="16" bestFit="1" customWidth="1"/>
  </cols>
  <sheetData>
    <row r="1" spans="1:13" ht="21" x14ac:dyDescent="0.35">
      <c r="A1" s="400" t="s">
        <v>0</v>
      </c>
      <c r="B1" s="400"/>
      <c r="C1" s="400"/>
      <c r="D1" s="400"/>
      <c r="E1" s="400"/>
      <c r="F1" s="400"/>
      <c r="H1" s="400" t="s">
        <v>0</v>
      </c>
      <c r="I1" s="400"/>
      <c r="J1" s="400"/>
      <c r="K1" s="400"/>
      <c r="L1" s="400"/>
      <c r="M1" s="400"/>
    </row>
    <row r="2" spans="1:13" ht="18.5" x14ac:dyDescent="0.35">
      <c r="A2" s="465"/>
      <c r="B2" s="465"/>
      <c r="C2" s="466" t="s">
        <v>89</v>
      </c>
      <c r="D2" s="466"/>
      <c r="E2" s="466"/>
      <c r="F2" s="139"/>
      <c r="H2" s="465"/>
      <c r="I2" s="465"/>
      <c r="J2" s="466" t="s">
        <v>123</v>
      </c>
      <c r="K2" s="466"/>
      <c r="L2" s="466"/>
      <c r="M2" s="139"/>
    </row>
    <row r="3" spans="1:13" x14ac:dyDescent="0.35">
      <c r="A3" s="108" t="s">
        <v>77</v>
      </c>
      <c r="B3" s="178" t="s">
        <v>36</v>
      </c>
      <c r="C3" s="187" t="s">
        <v>117</v>
      </c>
      <c r="D3" s="108" t="s">
        <v>5</v>
      </c>
      <c r="E3" s="108" t="s">
        <v>56</v>
      </c>
      <c r="F3" s="108" t="s">
        <v>90</v>
      </c>
      <c r="H3" s="108" t="s">
        <v>77</v>
      </c>
      <c r="I3" s="178" t="s">
        <v>36</v>
      </c>
      <c r="J3" s="85" t="s">
        <v>55</v>
      </c>
      <c r="K3" s="108" t="s">
        <v>5</v>
      </c>
      <c r="L3" s="108" t="s">
        <v>56</v>
      </c>
      <c r="M3" s="108" t="s">
        <v>124</v>
      </c>
    </row>
    <row r="4" spans="1:13" ht="18.5" x14ac:dyDescent="0.35">
      <c r="A4" s="135">
        <v>1</v>
      </c>
      <c r="B4" s="178">
        <v>46055</v>
      </c>
      <c r="C4" s="281" t="s">
        <v>262</v>
      </c>
      <c r="D4" s="108" t="s">
        <v>148</v>
      </c>
      <c r="E4" s="108">
        <v>350</v>
      </c>
      <c r="F4" s="108"/>
      <c r="H4" s="135">
        <v>1</v>
      </c>
      <c r="I4" s="200">
        <v>46055</v>
      </c>
      <c r="J4" s="187" t="s">
        <v>136</v>
      </c>
      <c r="K4" s="108" t="s">
        <v>135</v>
      </c>
      <c r="L4" s="108">
        <v>100</v>
      </c>
      <c r="M4" s="108" t="s">
        <v>261</v>
      </c>
    </row>
    <row r="5" spans="1:13" ht="18.5" x14ac:dyDescent="0.35">
      <c r="A5" s="135">
        <v>2</v>
      </c>
      <c r="B5" s="178">
        <v>46060</v>
      </c>
      <c r="C5" s="281" t="s">
        <v>263</v>
      </c>
      <c r="D5" s="108" t="s">
        <v>148</v>
      </c>
      <c r="E5" s="108">
        <v>500</v>
      </c>
      <c r="F5" s="108"/>
      <c r="H5" s="213"/>
      <c r="I5" s="200"/>
      <c r="J5" s="213"/>
      <c r="K5" s="213"/>
      <c r="L5" s="47"/>
      <c r="M5" s="47"/>
    </row>
    <row r="6" spans="1:13" x14ac:dyDescent="0.35">
      <c r="A6" s="124"/>
      <c r="B6" s="186"/>
      <c r="C6" s="188"/>
      <c r="D6" s="278" t="s">
        <v>23</v>
      </c>
      <c r="E6" s="279">
        <f>SUM(E4:E5)</f>
        <v>850</v>
      </c>
      <c r="F6" s="108"/>
      <c r="H6" s="124"/>
      <c r="I6" s="186"/>
      <c r="J6" s="188"/>
      <c r="K6" s="278" t="s">
        <v>23</v>
      </c>
      <c r="L6" s="48">
        <f>SUM(L4:L5)</f>
        <v>100</v>
      </c>
      <c r="M6" s="108"/>
    </row>
    <row r="7" spans="1:13" x14ac:dyDescent="0.35">
      <c r="I7" s="143"/>
      <c r="J7" s="151"/>
      <c r="L7" s="185"/>
    </row>
    <row r="8" spans="1:13" x14ac:dyDescent="0.35">
      <c r="A8" s="114"/>
      <c r="B8" s="179"/>
      <c r="C8" s="189"/>
      <c r="D8" s="114"/>
      <c r="E8" s="184"/>
      <c r="F8" s="114"/>
      <c r="H8" s="114"/>
      <c r="I8" s="179" t="s">
        <v>128</v>
      </c>
      <c r="J8" s="189"/>
      <c r="K8" s="114"/>
      <c r="L8" s="184"/>
      <c r="M8" s="114"/>
    </row>
    <row r="9" spans="1:13" x14ac:dyDescent="0.35">
      <c r="A9" s="137" t="s">
        <v>78</v>
      </c>
      <c r="B9" s="180"/>
      <c r="C9" s="190"/>
      <c r="D9" s="47" t="s">
        <v>79</v>
      </c>
      <c r="F9" s="47" t="s">
        <v>80</v>
      </c>
      <c r="H9" s="137" t="s">
        <v>78</v>
      </c>
      <c r="I9" s="180"/>
      <c r="J9" s="190"/>
      <c r="K9" s="47" t="s">
        <v>79</v>
      </c>
      <c r="L9" s="185"/>
      <c r="M9" s="47" t="s">
        <v>80</v>
      </c>
    </row>
    <row r="10" spans="1:13" x14ac:dyDescent="0.35">
      <c r="A10" s="138" t="s">
        <v>30</v>
      </c>
      <c r="B10" s="179"/>
      <c r="C10" s="189"/>
      <c r="D10" s="114" t="s">
        <v>81</v>
      </c>
      <c r="F10" s="114" t="s">
        <v>82</v>
      </c>
      <c r="H10" s="138" t="s">
        <v>30</v>
      </c>
      <c r="I10" s="179"/>
      <c r="J10" s="189"/>
      <c r="K10" s="114" t="s">
        <v>81</v>
      </c>
      <c r="L10" s="185"/>
      <c r="M10" s="114" t="s">
        <v>82</v>
      </c>
    </row>
    <row r="11" spans="1:13" x14ac:dyDescent="0.35">
      <c r="I11" s="143"/>
      <c r="J11" s="151"/>
      <c r="L11" s="185"/>
    </row>
    <row r="12" spans="1:13" ht="28.5" x14ac:dyDescent="0.65">
      <c r="A12" s="461"/>
      <c r="B12" s="461"/>
      <c r="C12" s="461"/>
      <c r="D12" s="461"/>
      <c r="E12" s="461"/>
      <c r="F12" s="461"/>
      <c r="G12" s="108"/>
      <c r="H12" s="464" t="s">
        <v>0</v>
      </c>
      <c r="I12" s="464"/>
      <c r="J12" s="464"/>
      <c r="K12" s="464"/>
      <c r="L12" s="464"/>
    </row>
    <row r="13" spans="1:13" ht="21" x14ac:dyDescent="0.35">
      <c r="A13" s="400" t="s">
        <v>0</v>
      </c>
      <c r="B13" s="400"/>
      <c r="C13" s="400"/>
      <c r="D13" s="400"/>
      <c r="E13" s="400"/>
      <c r="F13" s="400"/>
      <c r="J13" t="s">
        <v>70</v>
      </c>
    </row>
    <row r="14" spans="1:13" ht="18.5" x14ac:dyDescent="0.35">
      <c r="A14" s="465"/>
      <c r="B14" s="465"/>
      <c r="C14" s="466" t="s">
        <v>89</v>
      </c>
      <c r="D14" s="466"/>
      <c r="E14" s="466"/>
      <c r="F14" s="139"/>
    </row>
    <row r="15" spans="1:13" x14ac:dyDescent="0.35">
      <c r="A15" s="108" t="s">
        <v>77</v>
      </c>
      <c r="B15" s="178" t="s">
        <v>36</v>
      </c>
      <c r="C15" s="85" t="s">
        <v>267</v>
      </c>
      <c r="D15" s="108" t="s">
        <v>5</v>
      </c>
      <c r="E15" s="108" t="s">
        <v>56</v>
      </c>
      <c r="F15" s="108" t="s">
        <v>124</v>
      </c>
      <c r="H15" s="415" t="s">
        <v>36</v>
      </c>
      <c r="I15" s="417"/>
      <c r="J15" s="102" t="s">
        <v>68</v>
      </c>
      <c r="K15" s="102" t="s">
        <v>131</v>
      </c>
      <c r="L15" s="102" t="s">
        <v>56</v>
      </c>
    </row>
    <row r="16" spans="1:13" ht="40.5" customHeight="1" x14ac:dyDescent="0.35">
      <c r="A16" s="135">
        <v>1</v>
      </c>
      <c r="B16" s="200">
        <v>46063</v>
      </c>
      <c r="C16" s="485" t="s">
        <v>268</v>
      </c>
      <c r="D16" s="108" t="s">
        <v>135</v>
      </c>
      <c r="E16" s="108">
        <v>150</v>
      </c>
      <c r="F16" s="484" t="s">
        <v>266</v>
      </c>
      <c r="H16" s="462"/>
      <c r="I16" s="463"/>
      <c r="J16" s="102"/>
      <c r="K16" s="102"/>
      <c r="L16" s="102"/>
    </row>
    <row r="17" spans="1:12" x14ac:dyDescent="0.35">
      <c r="B17"/>
      <c r="C17"/>
      <c r="E17"/>
      <c r="L17" s="102"/>
    </row>
    <row r="18" spans="1:12" x14ac:dyDescent="0.35">
      <c r="A18" s="124"/>
      <c r="B18" s="186"/>
      <c r="C18" s="188"/>
      <c r="D18" s="108" t="s">
        <v>23</v>
      </c>
      <c r="E18" s="48">
        <f>SUM(E16:E16)</f>
        <v>150</v>
      </c>
      <c r="F18" s="108"/>
      <c r="K18" s="102" t="s">
        <v>23</v>
      </c>
      <c r="L18" s="102">
        <v>500</v>
      </c>
    </row>
    <row r="20" spans="1:12" x14ac:dyDescent="0.35">
      <c r="A20" s="114"/>
      <c r="B20" s="179" t="s">
        <v>128</v>
      </c>
      <c r="C20" s="189"/>
      <c r="D20" s="114"/>
      <c r="E20" s="184"/>
      <c r="F20" s="114"/>
      <c r="H20" s="137"/>
      <c r="I20" s="180"/>
      <c r="J20" s="47"/>
      <c r="L20" s="47"/>
    </row>
    <row r="21" spans="1:12" x14ac:dyDescent="0.35">
      <c r="A21" s="137" t="s">
        <v>78</v>
      </c>
      <c r="B21" s="180"/>
      <c r="C21" s="190"/>
      <c r="D21" s="47" t="s">
        <v>79</v>
      </c>
      <c r="F21" s="47" t="s">
        <v>80</v>
      </c>
      <c r="H21" s="138"/>
      <c r="I21" s="179"/>
      <c r="J21" s="114"/>
      <c r="L21" s="114"/>
    </row>
    <row r="22" spans="1:12" x14ac:dyDescent="0.35">
      <c r="A22" s="138" t="s">
        <v>30</v>
      </c>
      <c r="B22" s="179"/>
      <c r="C22" s="189"/>
      <c r="D22" s="114" t="s">
        <v>81</v>
      </c>
      <c r="F22" s="114" t="s">
        <v>82</v>
      </c>
      <c r="H22" s="137" t="s">
        <v>78</v>
      </c>
      <c r="I22" s="180"/>
      <c r="J22" s="47" t="s">
        <v>79</v>
      </c>
      <c r="L22" s="47" t="s">
        <v>80</v>
      </c>
    </row>
    <row r="23" spans="1:12" x14ac:dyDescent="0.35">
      <c r="H23" s="138" t="s">
        <v>30</v>
      </c>
      <c r="I23" s="179"/>
      <c r="J23" s="114" t="s">
        <v>81</v>
      </c>
      <c r="L23" s="114" t="s">
        <v>82</v>
      </c>
    </row>
  </sheetData>
  <mergeCells count="13">
    <mergeCell ref="A12:F12"/>
    <mergeCell ref="H16:I16"/>
    <mergeCell ref="H15:I15"/>
    <mergeCell ref="H12:L12"/>
    <mergeCell ref="A1:F1"/>
    <mergeCell ref="A2:B2"/>
    <mergeCell ref="C2:E2"/>
    <mergeCell ref="H1:M1"/>
    <mergeCell ref="H2:I2"/>
    <mergeCell ref="J2:L2"/>
    <mergeCell ref="A13:F13"/>
    <mergeCell ref="A14:B14"/>
    <mergeCell ref="C14:E14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4.5" x14ac:dyDescent="0.35"/>
  <cols>
    <col min="1" max="1" width="8.54296875" customWidth="1"/>
    <col min="2" max="2" width="12.7265625" customWidth="1"/>
    <col min="3" max="3" width="38" customWidth="1"/>
    <col min="4" max="4" width="20" customWidth="1"/>
    <col min="7" max="7" width="13" customWidth="1"/>
    <col min="8" max="8" width="46.26953125" customWidth="1"/>
    <col min="9" max="9" width="18" customWidth="1"/>
  </cols>
  <sheetData>
    <row r="1" spans="1:9" ht="23.5" x14ac:dyDescent="0.55000000000000004">
      <c r="A1" s="477" t="s">
        <v>91</v>
      </c>
      <c r="B1" s="478"/>
      <c r="C1" s="478"/>
      <c r="D1" s="479"/>
      <c r="F1" s="469" t="s">
        <v>106</v>
      </c>
      <c r="G1" s="470"/>
      <c r="H1" s="470"/>
      <c r="I1" s="471"/>
    </row>
    <row r="2" spans="1:9" ht="18.5" x14ac:dyDescent="0.45">
      <c r="A2" s="480" t="s">
        <v>92</v>
      </c>
      <c r="B2" s="473"/>
      <c r="C2" s="473"/>
      <c r="D2" s="481"/>
      <c r="F2" s="472" t="s">
        <v>92</v>
      </c>
      <c r="G2" s="473"/>
      <c r="H2" s="473"/>
      <c r="I2" s="474"/>
    </row>
    <row r="3" spans="1:9" x14ac:dyDescent="0.35">
      <c r="A3" s="142"/>
      <c r="B3" s="143"/>
      <c r="D3" s="144"/>
      <c r="F3" s="156"/>
      <c r="I3" s="106"/>
    </row>
    <row r="4" spans="1:9" x14ac:dyDescent="0.35">
      <c r="A4" s="145" t="s">
        <v>93</v>
      </c>
      <c r="B4" s="146" t="s">
        <v>36</v>
      </c>
      <c r="C4" s="145" t="s">
        <v>55</v>
      </c>
      <c r="D4" s="145" t="s">
        <v>94</v>
      </c>
      <c r="F4" s="164"/>
      <c r="G4" s="165"/>
      <c r="H4" s="165"/>
      <c r="I4" s="166"/>
    </row>
    <row r="5" spans="1:9" x14ac:dyDescent="0.35">
      <c r="A5" s="111">
        <v>1</v>
      </c>
      <c r="B5" s="147"/>
      <c r="C5" s="148"/>
      <c r="D5" s="111"/>
      <c r="F5" s="156"/>
      <c r="I5" s="106"/>
    </row>
    <row r="6" spans="1:9" x14ac:dyDescent="0.35">
      <c r="A6" s="111">
        <v>2</v>
      </c>
      <c r="B6" s="147"/>
      <c r="C6" s="148"/>
      <c r="D6" s="111"/>
      <c r="F6" s="157" t="s">
        <v>93</v>
      </c>
      <c r="G6" s="145" t="s">
        <v>36</v>
      </c>
      <c r="H6" s="145" t="s">
        <v>55</v>
      </c>
      <c r="I6" s="158" t="s">
        <v>94</v>
      </c>
    </row>
    <row r="7" spans="1:9" x14ac:dyDescent="0.35">
      <c r="A7" s="111">
        <v>3</v>
      </c>
      <c r="B7" s="147"/>
      <c r="C7" s="148"/>
      <c r="D7" s="111"/>
      <c r="F7" s="110">
        <v>1</v>
      </c>
      <c r="G7" s="147"/>
      <c r="H7" s="167"/>
      <c r="I7" s="112"/>
    </row>
    <row r="8" spans="1:9" x14ac:dyDescent="0.35">
      <c r="A8" s="111">
        <v>4</v>
      </c>
      <c r="B8" s="147"/>
      <c r="C8" s="111"/>
      <c r="D8" s="111"/>
      <c r="F8" s="110">
        <v>2</v>
      </c>
      <c r="G8" s="111"/>
      <c r="H8" s="111"/>
      <c r="I8" s="112"/>
    </row>
    <row r="9" spans="1:9" x14ac:dyDescent="0.35">
      <c r="A9" s="111">
        <v>5</v>
      </c>
      <c r="B9" s="147"/>
      <c r="C9" s="111"/>
      <c r="D9" s="111"/>
      <c r="F9" s="110">
        <v>3</v>
      </c>
      <c r="G9" s="111"/>
      <c r="H9" s="111"/>
      <c r="I9" s="112"/>
    </row>
    <row r="10" spans="1:9" x14ac:dyDescent="0.35">
      <c r="A10" s="111">
        <v>5</v>
      </c>
      <c r="B10" s="147"/>
      <c r="C10" s="111"/>
      <c r="D10" s="111"/>
      <c r="F10" s="110">
        <v>4</v>
      </c>
      <c r="G10" s="111"/>
      <c r="H10" s="111"/>
      <c r="I10" s="112"/>
    </row>
    <row r="11" spans="1:9" x14ac:dyDescent="0.35">
      <c r="A11" s="111">
        <v>6</v>
      </c>
      <c r="B11" s="147"/>
      <c r="C11" s="111"/>
      <c r="D11" s="111"/>
      <c r="F11" s="110">
        <v>5</v>
      </c>
      <c r="G11" s="111"/>
      <c r="H11" s="111"/>
      <c r="I11" s="112"/>
    </row>
    <row r="12" spans="1:9" ht="21" x14ac:dyDescent="0.35">
      <c r="A12" s="111">
        <v>7</v>
      </c>
      <c r="B12" s="147"/>
      <c r="C12" s="111"/>
      <c r="D12" s="111"/>
      <c r="F12" s="475" t="s">
        <v>23</v>
      </c>
      <c r="G12" s="476"/>
      <c r="H12" s="476"/>
      <c r="I12" s="112"/>
    </row>
    <row r="13" spans="1:9" ht="21" x14ac:dyDescent="0.35">
      <c r="A13" s="482" t="s">
        <v>23</v>
      </c>
      <c r="B13" s="476"/>
      <c r="C13" s="476"/>
      <c r="D13" s="111">
        <f>SUM(D5:D12)</f>
        <v>0</v>
      </c>
      <c r="F13" s="156"/>
      <c r="I13" s="106"/>
    </row>
    <row r="14" spans="1:9" x14ac:dyDescent="0.35">
      <c r="A14" s="142"/>
      <c r="B14" s="143"/>
      <c r="D14" s="144"/>
      <c r="F14" s="156"/>
      <c r="I14" s="106"/>
    </row>
    <row r="15" spans="1:9" x14ac:dyDescent="0.35">
      <c r="A15" s="142"/>
      <c r="B15" s="149" t="s">
        <v>95</v>
      </c>
      <c r="C15" t="s">
        <v>96</v>
      </c>
      <c r="D15" s="144"/>
      <c r="F15" s="116"/>
      <c r="I15" s="106"/>
    </row>
    <row r="16" spans="1:9" x14ac:dyDescent="0.35">
      <c r="A16" s="150" t="s">
        <v>97</v>
      </c>
      <c r="B16" s="143" t="s">
        <v>98</v>
      </c>
      <c r="D16" s="144"/>
      <c r="F16" s="156"/>
      <c r="I16" s="106"/>
    </row>
    <row r="17" spans="1:9" x14ac:dyDescent="0.35">
      <c r="A17" s="142" t="s">
        <v>99</v>
      </c>
      <c r="B17" s="151" t="s">
        <v>100</v>
      </c>
      <c r="D17" s="144"/>
      <c r="F17" s="156"/>
      <c r="I17" s="106"/>
    </row>
    <row r="18" spans="1:9" x14ac:dyDescent="0.35">
      <c r="A18" s="142"/>
      <c r="B18" s="143"/>
      <c r="D18" s="144"/>
      <c r="F18" s="116" t="s">
        <v>107</v>
      </c>
      <c r="H18" t="s">
        <v>108</v>
      </c>
      <c r="I18" s="106"/>
    </row>
    <row r="19" spans="1:9" x14ac:dyDescent="0.35">
      <c r="A19" s="142"/>
      <c r="B19" s="143"/>
      <c r="D19" s="144"/>
      <c r="F19" s="156"/>
      <c r="I19" s="106"/>
    </row>
    <row r="20" spans="1:9" x14ac:dyDescent="0.35">
      <c r="A20" s="150" t="s">
        <v>101</v>
      </c>
      <c r="B20" s="137"/>
      <c r="C20" s="47" t="s">
        <v>31</v>
      </c>
      <c r="D20" s="144"/>
      <c r="F20" s="156"/>
      <c r="I20" s="106"/>
    </row>
    <row r="21" spans="1:9" x14ac:dyDescent="0.35">
      <c r="A21" s="152"/>
      <c r="B21" s="153"/>
      <c r="C21" s="154"/>
      <c r="D21" s="155"/>
      <c r="F21" s="156"/>
      <c r="I21" s="106"/>
    </row>
    <row r="22" spans="1:9" ht="15" thickBot="1" x14ac:dyDescent="0.4">
      <c r="A22" s="47"/>
      <c r="B22" s="143"/>
      <c r="F22" s="116" t="s">
        <v>101</v>
      </c>
      <c r="H22" s="47" t="s">
        <v>31</v>
      </c>
      <c r="I22" s="106"/>
    </row>
    <row r="23" spans="1:9" ht="24" thickBot="1" x14ac:dyDescent="0.6">
      <c r="A23" s="469" t="s">
        <v>91</v>
      </c>
      <c r="B23" s="470"/>
      <c r="C23" s="470"/>
      <c r="D23" s="471"/>
      <c r="F23" s="162"/>
      <c r="G23" s="129"/>
      <c r="H23" s="129"/>
      <c r="I23" s="130"/>
    </row>
    <row r="24" spans="1:9" ht="18.5" x14ac:dyDescent="0.45">
      <c r="A24" s="472" t="s">
        <v>92</v>
      </c>
      <c r="B24" s="473"/>
      <c r="C24" s="473"/>
      <c r="D24" s="474"/>
    </row>
    <row r="25" spans="1:9" x14ac:dyDescent="0.35">
      <c r="A25" s="156"/>
      <c r="B25" s="143"/>
      <c r="D25" s="106"/>
    </row>
    <row r="26" spans="1:9" x14ac:dyDescent="0.35">
      <c r="A26" s="157" t="s">
        <v>93</v>
      </c>
      <c r="B26" s="146" t="s">
        <v>36</v>
      </c>
      <c r="C26" s="145" t="s">
        <v>55</v>
      </c>
      <c r="D26" s="158" t="s">
        <v>94</v>
      </c>
    </row>
    <row r="27" spans="1:9" x14ac:dyDescent="0.35">
      <c r="A27" s="110">
        <v>1</v>
      </c>
      <c r="B27" s="147">
        <v>44927</v>
      </c>
      <c r="C27" s="159" t="s">
        <v>102</v>
      </c>
      <c r="D27" s="112">
        <v>200</v>
      </c>
    </row>
    <row r="28" spans="1:9" x14ac:dyDescent="0.35">
      <c r="A28" s="110">
        <v>2</v>
      </c>
      <c r="B28" s="147"/>
      <c r="C28" s="160"/>
      <c r="D28" s="112"/>
    </row>
    <row r="29" spans="1:9" x14ac:dyDescent="0.35">
      <c r="A29" s="110">
        <v>3</v>
      </c>
      <c r="B29" s="147"/>
      <c r="C29" s="160"/>
      <c r="D29" s="112"/>
    </row>
    <row r="30" spans="1:9" x14ac:dyDescent="0.35">
      <c r="A30" s="110">
        <v>4</v>
      </c>
      <c r="B30" s="147"/>
      <c r="C30" s="160"/>
      <c r="D30" s="112"/>
    </row>
    <row r="31" spans="1:9" x14ac:dyDescent="0.35">
      <c r="A31" s="110">
        <v>5</v>
      </c>
      <c r="B31" s="147"/>
      <c r="C31" s="111"/>
      <c r="D31" s="112"/>
    </row>
    <row r="32" spans="1:9" x14ac:dyDescent="0.35">
      <c r="A32" s="110">
        <v>6</v>
      </c>
      <c r="B32" s="147"/>
      <c r="C32" s="111"/>
      <c r="D32" s="112"/>
    </row>
    <row r="33" spans="1:4" x14ac:dyDescent="0.35">
      <c r="A33" s="110">
        <v>7</v>
      </c>
      <c r="B33" s="147"/>
      <c r="C33" s="111"/>
      <c r="D33" s="112"/>
    </row>
    <row r="34" spans="1:4" ht="21" x14ac:dyDescent="0.35">
      <c r="A34" s="475" t="s">
        <v>23</v>
      </c>
      <c r="B34" s="476"/>
      <c r="C34" s="476"/>
      <c r="D34" s="112">
        <f>SUM(D27:D33)</f>
        <v>200</v>
      </c>
    </row>
    <row r="35" spans="1:4" x14ac:dyDescent="0.35">
      <c r="A35" s="156"/>
      <c r="B35" s="143"/>
      <c r="D35" s="106"/>
    </row>
    <row r="36" spans="1:4" x14ac:dyDescent="0.35">
      <c r="A36" s="467"/>
      <c r="B36" s="403"/>
      <c r="C36" s="403"/>
      <c r="D36" s="468"/>
    </row>
    <row r="37" spans="1:4" x14ac:dyDescent="0.35">
      <c r="A37" s="116"/>
      <c r="B37" s="161"/>
      <c r="C37" s="151"/>
      <c r="D37" s="106"/>
    </row>
    <row r="38" spans="1:4" x14ac:dyDescent="0.35">
      <c r="A38" s="156" t="s">
        <v>103</v>
      </c>
      <c r="B38" s="143" t="s">
        <v>104</v>
      </c>
      <c r="D38" s="106"/>
    </row>
    <row r="39" spans="1:4" x14ac:dyDescent="0.35">
      <c r="A39" s="116" t="s">
        <v>99</v>
      </c>
      <c r="B39" s="143" t="s">
        <v>105</v>
      </c>
      <c r="D39" s="106"/>
    </row>
    <row r="40" spans="1:4" x14ac:dyDescent="0.35">
      <c r="A40" s="156"/>
      <c r="B40" s="143"/>
      <c r="D40" s="106"/>
    </row>
    <row r="41" spans="1:4" x14ac:dyDescent="0.35">
      <c r="A41" s="156"/>
      <c r="B41" s="143"/>
      <c r="D41" s="106"/>
    </row>
    <row r="42" spans="1:4" x14ac:dyDescent="0.35">
      <c r="A42" s="156"/>
      <c r="B42" s="143"/>
      <c r="D42" s="106"/>
    </row>
    <row r="43" spans="1:4" x14ac:dyDescent="0.35">
      <c r="A43" s="156"/>
      <c r="B43" s="143"/>
      <c r="D43" s="106"/>
    </row>
    <row r="44" spans="1:4" x14ac:dyDescent="0.35">
      <c r="A44" s="156"/>
      <c r="B44" s="143"/>
      <c r="D44" s="106"/>
    </row>
    <row r="45" spans="1:4" x14ac:dyDescent="0.35">
      <c r="A45" s="116" t="s">
        <v>101</v>
      </c>
      <c r="B45" s="143"/>
      <c r="C45" s="47" t="s">
        <v>31</v>
      </c>
      <c r="D45" s="106"/>
    </row>
    <row r="46" spans="1:4" ht="15" thickBot="1" x14ac:dyDescent="0.4">
      <c r="A46" s="162"/>
      <c r="B46" s="163"/>
      <c r="C46" s="129"/>
      <c r="D46" s="130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4.5" x14ac:dyDescent="0.35"/>
  <cols>
    <col min="1" max="1" width="7.81640625" customWidth="1"/>
    <col min="3" max="3" width="34" customWidth="1"/>
    <col min="4" max="4" width="14.26953125" customWidth="1"/>
    <col min="5" max="5" width="23.26953125" customWidth="1"/>
    <col min="6" max="6" width="15.1796875" customWidth="1"/>
    <col min="9" max="9" width="11.26953125" customWidth="1"/>
    <col min="10" max="10" width="30.7265625" customWidth="1"/>
    <col min="12" max="12" width="15.54296875" customWidth="1"/>
    <col min="13" max="13" width="15.7265625" customWidth="1"/>
  </cols>
  <sheetData>
    <row r="1" spans="1:13" ht="23.5" x14ac:dyDescent="0.55000000000000004">
      <c r="A1" s="469" t="s">
        <v>109</v>
      </c>
      <c r="B1" s="470"/>
      <c r="C1" s="470"/>
      <c r="D1" s="470"/>
      <c r="E1" s="470"/>
      <c r="F1" s="471"/>
      <c r="H1" s="469" t="s">
        <v>113</v>
      </c>
      <c r="I1" s="470"/>
      <c r="J1" s="470"/>
      <c r="K1" s="470"/>
      <c r="L1" s="470"/>
      <c r="M1" s="471"/>
    </row>
    <row r="2" spans="1:13" ht="18.5" x14ac:dyDescent="0.45">
      <c r="A2" s="472" t="s">
        <v>92</v>
      </c>
      <c r="B2" s="473"/>
      <c r="C2" s="473"/>
      <c r="D2" s="473"/>
      <c r="E2" s="473"/>
      <c r="F2" s="474"/>
      <c r="H2" s="472" t="s">
        <v>92</v>
      </c>
      <c r="I2" s="473"/>
      <c r="J2" s="473"/>
      <c r="K2" s="473"/>
      <c r="L2" s="473"/>
      <c r="M2" s="474"/>
    </row>
    <row r="3" spans="1:13" x14ac:dyDescent="0.35">
      <c r="A3" s="156"/>
      <c r="B3" s="143"/>
      <c r="F3" s="106"/>
      <c r="H3" s="105"/>
      <c r="M3" s="106"/>
    </row>
    <row r="4" spans="1:13" x14ac:dyDescent="0.35">
      <c r="A4" s="164"/>
      <c r="B4" s="173"/>
      <c r="C4" s="165"/>
      <c r="D4" s="165"/>
      <c r="E4" s="165"/>
      <c r="F4" s="166"/>
      <c r="H4" s="157" t="s">
        <v>93</v>
      </c>
      <c r="I4" s="146" t="s">
        <v>36</v>
      </c>
      <c r="J4" s="145" t="s">
        <v>110</v>
      </c>
      <c r="K4" s="145" t="s">
        <v>111</v>
      </c>
      <c r="L4" s="168" t="s">
        <v>55</v>
      </c>
      <c r="M4" s="158" t="s">
        <v>94</v>
      </c>
    </row>
    <row r="5" spans="1:13" x14ac:dyDescent="0.35">
      <c r="A5" s="156"/>
      <c r="B5" s="143"/>
      <c r="F5" s="106"/>
      <c r="H5" s="110">
        <v>1</v>
      </c>
      <c r="I5" s="147"/>
      <c r="J5" s="111"/>
      <c r="K5" s="111"/>
      <c r="L5" s="136"/>
      <c r="M5" s="112"/>
    </row>
    <row r="6" spans="1:13" x14ac:dyDescent="0.35">
      <c r="A6" s="157" t="s">
        <v>93</v>
      </c>
      <c r="B6" s="146" t="s">
        <v>36</v>
      </c>
      <c r="C6" s="145" t="s">
        <v>110</v>
      </c>
      <c r="D6" s="145" t="s">
        <v>111</v>
      </c>
      <c r="E6" s="168" t="s">
        <v>55</v>
      </c>
      <c r="F6" s="158" t="s">
        <v>94</v>
      </c>
      <c r="H6" s="110">
        <v>2</v>
      </c>
      <c r="I6" s="147"/>
      <c r="J6" s="111"/>
      <c r="K6" s="111"/>
      <c r="L6" s="136"/>
      <c r="M6" s="112"/>
    </row>
    <row r="7" spans="1:13" ht="21" x14ac:dyDescent="0.35">
      <c r="A7" s="110">
        <v>1</v>
      </c>
      <c r="B7" s="147"/>
      <c r="C7" s="111"/>
      <c r="D7" s="111"/>
      <c r="E7" s="169"/>
      <c r="F7" s="112"/>
      <c r="H7" s="475" t="s">
        <v>23</v>
      </c>
      <c r="I7" s="476"/>
      <c r="J7" s="476"/>
      <c r="K7" s="476"/>
      <c r="L7" s="483"/>
      <c r="M7" s="112"/>
    </row>
    <row r="8" spans="1:13" x14ac:dyDescent="0.35">
      <c r="A8" s="110">
        <v>2</v>
      </c>
      <c r="B8" s="147"/>
      <c r="C8" s="111"/>
      <c r="D8" s="111"/>
      <c r="E8" s="136"/>
      <c r="F8" s="112"/>
      <c r="H8" s="105"/>
      <c r="M8" s="106"/>
    </row>
    <row r="9" spans="1:13" ht="21" x14ac:dyDescent="0.35">
      <c r="A9" s="475" t="s">
        <v>23</v>
      </c>
      <c r="B9" s="476"/>
      <c r="C9" s="476"/>
      <c r="D9" s="476"/>
      <c r="E9" s="483"/>
      <c r="F9" s="112"/>
      <c r="H9" s="105"/>
      <c r="M9" s="106"/>
    </row>
    <row r="10" spans="1:13" x14ac:dyDescent="0.35">
      <c r="A10" s="156"/>
      <c r="B10" s="143"/>
      <c r="F10" s="106"/>
      <c r="H10" s="105"/>
      <c r="M10" s="106"/>
    </row>
    <row r="11" spans="1:13" x14ac:dyDescent="0.35">
      <c r="A11" s="116"/>
      <c r="B11" s="143"/>
      <c r="F11" s="106"/>
      <c r="H11" s="156"/>
      <c r="I11" s="143"/>
      <c r="M11" s="106"/>
    </row>
    <row r="12" spans="1:13" x14ac:dyDescent="0.35">
      <c r="A12" s="156"/>
      <c r="B12" s="143"/>
      <c r="F12" s="106"/>
      <c r="H12" s="156"/>
      <c r="I12" s="143"/>
      <c r="M12" s="106"/>
    </row>
    <row r="13" spans="1:13" x14ac:dyDescent="0.35">
      <c r="A13" s="156"/>
      <c r="B13" s="143"/>
      <c r="F13" s="106"/>
      <c r="H13" s="156"/>
      <c r="I13" s="143"/>
      <c r="M13" s="106"/>
    </row>
    <row r="14" spans="1:13" x14ac:dyDescent="0.35">
      <c r="A14" s="156"/>
      <c r="B14" s="170" t="s">
        <v>112</v>
      </c>
      <c r="C14" s="47"/>
      <c r="D14" s="171" t="s">
        <v>101</v>
      </c>
      <c r="E14" s="47"/>
      <c r="F14" s="172" t="s">
        <v>31</v>
      </c>
      <c r="H14" s="174" t="s">
        <v>112</v>
      </c>
      <c r="I14" s="47"/>
      <c r="J14" s="171" t="s">
        <v>101</v>
      </c>
      <c r="K14" s="47"/>
      <c r="M14" s="172" t="s">
        <v>31</v>
      </c>
    </row>
    <row r="15" spans="1:13" ht="15" thickBot="1" x14ac:dyDescent="0.4">
      <c r="A15" s="162"/>
      <c r="B15" s="163"/>
      <c r="C15" s="129"/>
      <c r="D15" s="129"/>
      <c r="E15" s="129"/>
      <c r="F15" s="130"/>
      <c r="H15" s="162"/>
      <c r="I15" s="163"/>
      <c r="J15" s="129"/>
      <c r="K15" s="129"/>
      <c r="L15" s="129"/>
      <c r="M15" s="130"/>
    </row>
    <row r="16" spans="1:13" x14ac:dyDescent="0.35">
      <c r="A16" s="156"/>
      <c r="B16" s="143"/>
      <c r="H16" s="47"/>
      <c r="I16" s="143"/>
    </row>
    <row r="17" spans="8:12" x14ac:dyDescent="0.35">
      <c r="H17" s="137"/>
      <c r="I17" s="143"/>
    </row>
    <row r="18" spans="8:12" x14ac:dyDescent="0.35">
      <c r="H18" s="47"/>
      <c r="I18" s="143"/>
    </row>
    <row r="19" spans="8:12" x14ac:dyDescent="0.35">
      <c r="H19" s="47"/>
      <c r="I19" s="143"/>
    </row>
    <row r="20" spans="8:12" x14ac:dyDescent="0.35">
      <c r="H20" s="47"/>
      <c r="I20" s="143"/>
    </row>
    <row r="21" spans="8:12" x14ac:dyDescent="0.35">
      <c r="H21" s="137"/>
      <c r="I21" s="143"/>
      <c r="K21" s="47"/>
      <c r="L21" s="47"/>
    </row>
    <row r="22" spans="8:12" x14ac:dyDescent="0.35">
      <c r="H22" s="47"/>
      <c r="I22" s="143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3. B2B-Non Power</vt:lpstr>
      <vt:lpstr>Goods Delivery Voucher</vt:lpstr>
      <vt:lpstr>Conveyance Voucher</vt:lpstr>
      <vt:lpstr>4. Goods Sending Expense</vt:lpstr>
      <vt:lpstr>5. Goods Receiving Expense</vt:lpstr>
      <vt:lpstr>6.WH-Depot Maintenance</vt:lpstr>
      <vt:lpstr>9. Stationary</vt:lpstr>
      <vt:lpstr>7. Utilities</vt:lpstr>
      <vt:lpstr>8. Printing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 Ahmed</cp:lastModifiedBy>
  <cp:lastPrinted>2026-02-15T07:55:00Z</cp:lastPrinted>
  <dcterms:created xsi:type="dcterms:W3CDTF">2023-01-08T05:51:58Z</dcterms:created>
  <dcterms:modified xsi:type="dcterms:W3CDTF">2026-02-16T06:03:11Z</dcterms:modified>
</cp:coreProperties>
</file>