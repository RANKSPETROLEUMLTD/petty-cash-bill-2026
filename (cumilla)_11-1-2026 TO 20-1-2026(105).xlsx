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office file\petty cash bill\1-1-2026 to 31-12-2026\1-1-2026 TO 31-1-2026\10-1-2026 TO 20-1-2026\"/>
    </mc:Choice>
  </mc:AlternateContent>
  <xr:revisionPtr revIDLastSave="0" documentId="13_ncr:1_{56B403AC-1AFC-4B60-BFDC-FE128AF90154}" xr6:coauthVersionLast="47" xr6:coauthVersionMax="47" xr10:uidLastSave="{00000000-0000-0000-0000-000000000000}"/>
  <bookViews>
    <workbookView xWindow="-110" yWindow="-110" windowWidth="19420" windowHeight="1030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3. B2B-Non Power" sheetId="4" state="hidden" r:id="rId4"/>
    <sheet name="Goods Delivery Voucher" sheetId="19" r:id="rId5"/>
    <sheet name="Conveyance Voucher" sheetId="18" r:id="rId6"/>
    <sheet name="4. Goods Sending Expense" sheetId="5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r:id="rId13"/>
    <sheet name="12. Entertainment" sheetId="12" r:id="rId14"/>
    <sheet name="13. Food Allowance" sheetId="13" r:id="rId15"/>
    <sheet name="14. Conveyance" sheetId="14" r:id="rId16"/>
    <sheet name="15. For Security" sheetId="15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3">'3. B2B-Non Power'!$3:$3</definedName>
    <definedName name="_xlnm.Print_Titles" localSheetId="6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5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6" i="20" l="1"/>
  <c r="G62" i="20"/>
  <c r="G48" i="20"/>
  <c r="G34" i="20"/>
  <c r="L16" i="3" l="1"/>
  <c r="L17" i="3"/>
  <c r="L18" i="3"/>
  <c r="L19" i="3"/>
  <c r="L20" i="3"/>
  <c r="L21" i="3"/>
  <c r="L12" i="3"/>
  <c r="L13" i="3"/>
  <c r="L14" i="3"/>
  <c r="L15" i="3"/>
  <c r="L11" i="3"/>
  <c r="L10" i="3" l="1"/>
  <c r="F23" i="8" l="1"/>
  <c r="L6" i="3"/>
  <c r="L7" i="3"/>
  <c r="L8" i="3"/>
  <c r="L9" i="3"/>
  <c r="L5" i="3"/>
  <c r="H4" i="6" l="1"/>
  <c r="F4" i="6"/>
  <c r="G101" i="18"/>
  <c r="G83" i="18"/>
  <c r="D3" i="7"/>
  <c r="L6" i="20"/>
  <c r="G69" i="18"/>
  <c r="E6" i="20"/>
  <c r="G10" i="18"/>
  <c r="G42" i="18"/>
  <c r="H4" i="3"/>
  <c r="F4" i="3"/>
  <c r="D4" i="3"/>
  <c r="J4" i="3" l="1"/>
  <c r="L42" i="3"/>
  <c r="L43" i="3"/>
  <c r="L44" i="3"/>
  <c r="L45" i="3"/>
  <c r="L46" i="3"/>
  <c r="L47" i="3"/>
  <c r="L48" i="3"/>
  <c r="L49" i="3"/>
  <c r="L50" i="3"/>
  <c r="G26" i="18"/>
  <c r="G18" i="19"/>
  <c r="E18" i="20"/>
  <c r="J4" i="6"/>
  <c r="E4" i="6"/>
  <c r="D4" i="6"/>
  <c r="A7" i="19"/>
  <c r="A8" i="19" s="1"/>
  <c r="A9" i="19" s="1"/>
  <c r="A10" i="19" s="1"/>
  <c r="A11" i="19" s="1"/>
  <c r="A12" i="19" s="1"/>
  <c r="A13" i="19" s="1"/>
  <c r="A14" i="19" s="1"/>
  <c r="A15" i="19" s="1"/>
  <c r="G56" i="18" l="1"/>
  <c r="O7" i="18" l="1"/>
  <c r="E2" i="10" l="1"/>
  <c r="C13" i="1" s="1"/>
  <c r="O38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D4" i="5"/>
  <c r="D26" i="1" s="1"/>
  <c r="K4" i="4"/>
  <c r="J4" i="4"/>
  <c r="I4" i="4"/>
  <c r="H4" i="4"/>
  <c r="F4" i="4"/>
  <c r="E4" i="4"/>
  <c r="K4" i="3"/>
  <c r="I4" i="3"/>
  <c r="E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5" l="1"/>
  <c r="C8" i="1" s="1"/>
  <c r="C6" i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<sst xmlns="http://schemas.openxmlformats.org/spreadsheetml/2006/main" count="928" uniqueCount="246">
  <si>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</si>
  <si>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</si>
  <si>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</si>
  <si>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</si>
  <si>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</si>
  <si>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</si>
  <si>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</si>
  <si>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</si>
  <si>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</si>
  <si>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</si>
  <si>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</si>
  <si>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</si>
  <si>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</si>
  <si>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</si>
  <si>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</si>
  <si>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</si>
  <si>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</si>
  <si>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</si>
  <si>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</si>
  <si>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</si>
  <si>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</si>
  <si>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</si>
  <si>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</si>
  <si>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</si>
  <si>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</si>
  <si>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</si>
  <si>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</si>
  <si>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</si>
  <si>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</si>
  <si>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</si>
  <si>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</si>
  <si>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</si>
  <si>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</si>
  <si>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</si>
  <si>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</si>
  <si>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</si>
  <si>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</si>
  <si>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</si>
  <si>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</si>
  <si>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</si>
  <si>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</si>
  <si>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</si>
  <si>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</si>
  <si>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</si>
  <si>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</si>
  <si>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</si>
  <si>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</si>
  <si>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</si>
  <si>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</si>
  <si>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</si>
  <si>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</si>
  <si>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</si>
  <si>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</si>
  <si>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</si>
  <si>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</si>
  <si>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</si>
  <si>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</si>
  <si>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</si>
  <si>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</si>
  <si>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</si>
  <si>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</si>
  <si>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</si>
  <si>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</si>
  <si>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</si>
  <si>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</si>
  <si>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</si>
  <si>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</si>
  <si>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</si>
  <si>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</si>
  <si>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</si>
  <si>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</si>
  <si>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</si>
  <si>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</si>
  <si>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</si>
  <si>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</si>
  <si>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</si>
  <si>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</si>
  <si>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</si>
  <si>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</si>
  <si>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</si>
  <si>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</si>
  <si>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</si>
  <si>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</si>
  <si>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</si>
  <si>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</si>
  <si>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</si>
  <si>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</si>
  <si>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</si>
  <si>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</si>
  <si>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</si>
  <si>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</si>
  <si>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</si>
  <si>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</si>
  <si>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</si>
  <si>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</si>
  <si>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</si>
  <si>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</si>
  <si>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</si>
  <si>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</si>
  <si>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</si>
  <si>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</si>
  <si>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</si>
  <si>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</si>
  <si>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</si>
  <si>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</si>
  <si>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</si>
  <si>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</si>
  <si>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</si>
  <si>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</si>
  <si>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</si>
  <si>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</si>
  <si>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</si>
  <si>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</si>
  <si>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</si>
  <si>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</si>
  <si>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</si>
  <si>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</si>
  <si>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</si>
  <si>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</si>
  <si>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</si>
  <si>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</si>
  <si>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</si>
  <si>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</si>
  <si>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</si>
  <si>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</si>
  <si>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</si>
  <si>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</si>
  <si>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</si>
  <si>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</si>
  <si>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</si>
  <si>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</si>
  <si>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</si>
  <si>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</si>
  <si>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</si>
  <si>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</si>
  <si>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</si>
  <si>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</si>
  <si>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</si>
  <si>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</si>
  <si>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</si>
  <si>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</si>
  <si>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</si>
  <si>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</si>
  <si>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</si>
  <si>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</si>
  <si>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</si>
  <si>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</si>
  <si>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</si>
  <si>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</si>
  <si>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</si>
  <si>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</si>
  <si>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</si>
  <si>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</si>
  <si>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Electricity bill</t>
  </si>
  <si>
    <t>one month</t>
  </si>
  <si>
    <t>water bill</t>
  </si>
  <si>
    <t>Received</t>
  </si>
  <si>
    <t>shoyagazi,cumilla</t>
  </si>
  <si>
    <t>5 person food</t>
  </si>
  <si>
    <t>3 person food</t>
  </si>
  <si>
    <t>Goods Sending</t>
  </si>
  <si>
    <t>rafi</t>
  </si>
  <si>
    <t>rafi,sohel,arif,shah alam</t>
  </si>
  <si>
    <t>shah alam &amp; sohel &amp; rafi</t>
  </si>
  <si>
    <t>11.01.2026- 20.01.2026</t>
  </si>
  <si>
    <t>Month:  january -2026</t>
  </si>
  <si>
    <t xml:space="preserve">098067	</t>
  </si>
  <si>
    <t>Sami Sadi Engineering</t>
  </si>
  <si>
    <t xml:space="preserve">Nitol Motors Ltd.	</t>
  </si>
  <si>
    <t>cumilla depot</t>
  </si>
  <si>
    <t>ulukhola warehouse</t>
  </si>
  <si>
    <t>sohel ahmed</t>
  </si>
  <si>
    <t>rafi patahn</t>
  </si>
  <si>
    <t>arif khan</t>
  </si>
  <si>
    <t>Jibon Honda Workshop</t>
  </si>
  <si>
    <t>Polash Honda Servicing Center</t>
  </si>
  <si>
    <t>Previous unit-3229,current unit-3325</t>
  </si>
  <si>
    <t>96 unit</t>
  </si>
  <si>
    <t>1/12/2025 to 14/1/2026</t>
  </si>
  <si>
    <t>Nozir Motors</t>
  </si>
  <si>
    <t>1-12-2025 T0 31-12-2025</t>
  </si>
  <si>
    <t>Electricity bill,water bill</t>
  </si>
  <si>
    <t xml:space="preserve">098375	</t>
  </si>
  <si>
    <t xml:space="preserve">		
Predesh Motors</t>
  </si>
  <si>
    <t xml:space="preserve">098369	</t>
  </si>
  <si>
    <t>Al-Amin Tyre &amp; Battery Shop</t>
  </si>
  <si>
    <t>098368</t>
  </si>
  <si>
    <t xml:space="preserve">	
M/S Bhuiyan Traders</t>
  </si>
  <si>
    <t xml:space="preserve">098333	</t>
  </si>
  <si>
    <t>Sanjit Engenering Workshop</t>
  </si>
  <si>
    <t>shah alam &amp; rafi</t>
  </si>
  <si>
    <t>sohel</t>
  </si>
  <si>
    <t>Hondha Auto King</t>
  </si>
  <si>
    <t>Basar Traders</t>
  </si>
  <si>
    <t>Arju motors</t>
  </si>
  <si>
    <t>M/S Tamanna Machinery</t>
  </si>
  <si>
    <t>Gowripur Bus stand, daudkandi, comilla</t>
  </si>
  <si>
    <t>auto/bus</t>
  </si>
  <si>
    <t xml:space="preserve"> Mynamoti Cumilla</t>
  </si>
  <si>
    <t>auto/bus/cng</t>
  </si>
  <si>
    <t>98160</t>
  </si>
  <si>
    <t>Raster Matha,Senbagh,Noakhali.</t>
  </si>
  <si>
    <t>98184</t>
  </si>
  <si>
    <t xml:space="preserve">	
Nazira Bazar, Cumilla</t>
  </si>
  <si>
    <t>98260</t>
  </si>
  <si>
    <t>98261</t>
  </si>
  <si>
    <t xml:space="preserve">east bazar,Chatkhil,Noakhali	</t>
  </si>
  <si>
    <t xml:space="preserve">Voroshar bazar, Burichong, cumilla	</t>
  </si>
  <si>
    <t>98425</t>
  </si>
  <si>
    <t>Bishwaroad more, B.Baria sadar, B.baria,Nasirnagar b.baria,	Bangora Bazar (Ramjan Molla Masjid), Nabinagar,</t>
  </si>
  <si>
    <t>98424</t>
  </si>
  <si>
    <t>98426</t>
  </si>
  <si>
    <t>Senbug rastarmatha, senbug,Noakhali,hospital road, senbag,Noakhali</t>
  </si>
  <si>
    <t>98441</t>
  </si>
  <si>
    <t>98452</t>
  </si>
  <si>
    <t xml:space="preserve">	
Dohabanga,Sharashti get,Sharashti	</t>
  </si>
  <si>
    <t>angora Bazar (Ramjan Molla Masjid), Nabinagar,,Nasirnagar b.baria,</t>
  </si>
  <si>
    <t xml:space="preserve">	
Dohabanga,Sharashti get,Sharashti</t>
  </si>
  <si>
    <t>Voroshar bazar, Burichong, cumilla</t>
  </si>
  <si>
    <t>Nazira Bazar, Cumilla</t>
  </si>
  <si>
    <t>hospital road, senbag,Noakhali</t>
  </si>
  <si>
    <t>shah alam &amp; sohel</t>
  </si>
  <si>
    <t>shah alam &amp;  sohel</t>
  </si>
  <si>
    <t>Holiday working bill</t>
  </si>
  <si>
    <t>We are working on a government holiday.</t>
  </si>
  <si>
    <t>Holiday TA/DA Bill of Management Employee</t>
  </si>
  <si>
    <t>Employee ID:</t>
  </si>
  <si>
    <t>Designation: Executive</t>
  </si>
  <si>
    <t xml:space="preserve">Dept: </t>
  </si>
  <si>
    <t>Supply Chain</t>
  </si>
  <si>
    <t>Purpose: Holiday Duty/Outside Duty.</t>
  </si>
  <si>
    <t>TA</t>
  </si>
  <si>
    <t>31.12.25</t>
  </si>
  <si>
    <t>Holiday Duty (Year Closing)</t>
  </si>
  <si>
    <t>Claimed By</t>
  </si>
  <si>
    <t>WH Incharge</t>
  </si>
  <si>
    <t>Employee Name: Sohel Ahmed</t>
  </si>
  <si>
    <t>Employee Name: Arifur Rahman Khan</t>
  </si>
  <si>
    <t>Employee Name: Rafi Pathan</t>
  </si>
  <si>
    <t xml:space="preserve">Employee Shah alam </t>
  </si>
  <si>
    <t>Holiday TA/DA Bill of Non-management Employee</t>
  </si>
  <si>
    <t>Designation: Helper</t>
  </si>
  <si>
    <t>Holiday TA/DA Bill of Non-Management Employee</t>
  </si>
  <si>
    <t>Holiday Expense</t>
  </si>
  <si>
    <t>We are working on a government holiday</t>
  </si>
  <si>
    <t>Bill No: Cum/105/january 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</si>
</sst>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Times New Roman"/>
      <family val="1"/>
    </font>
    <font>
      <b/>
      <sz val="16"/>
      <name val="Tahoma"/>
      <family val="2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2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Protection="1"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5" fillId="0" borderId="3" xfId="0" applyFont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1" fillId="2" borderId="3" xfId="0" applyFont="1" applyFill="1" applyBorder="1" applyProtection="1"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8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165" fontId="24" fillId="2" borderId="3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 wrapText="1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40" fillId="2" borderId="3" xfId="0" applyFont="1" applyFill="1" applyBorder="1" applyAlignment="1" applyProtection="1">
      <alignment horizontal="center" vertical="center"/>
      <protection locked="0"/>
    </xf>
    <xf numFmtId="0" fontId="40" fillId="2" borderId="3" xfId="0" applyFont="1" applyFill="1" applyBorder="1" applyProtection="1">
      <protection locked="0"/>
    </xf>
    <xf numFmtId="0" fontId="8" fillId="2" borderId="3" xfId="0" applyFont="1" applyFill="1" applyBorder="1" applyAlignment="1">
      <alignment horizontal="center" vertical="center" wrapText="1"/>
    </xf>
    <xf numFmtId="49" fontId="41" fillId="0" borderId="3" xfId="0" applyNumberFormat="1" applyFont="1" applyBorder="1" applyAlignment="1">
      <alignment horizontal="center" vertical="center" wrapText="1"/>
    </xf>
    <xf numFmtId="164" fontId="2" fillId="2" borderId="0" xfId="0" applyNumberFormat="1" applyFont="1" applyFill="1" applyProtection="1"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2" fillId="2" borderId="0" xfId="0" applyFont="1" applyFill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64" fontId="2" fillId="0" borderId="3" xfId="0" applyNumberFormat="1" applyFont="1" applyBorder="1" applyAlignment="1" applyProtection="1">
      <alignment wrapText="1"/>
      <protection locked="0"/>
    </xf>
    <xf numFmtId="0" fontId="2" fillId="2" borderId="3" xfId="0" applyFont="1" applyFill="1" applyBorder="1" applyAlignment="1" applyProtection="1">
      <alignment horizontal="left" vertical="center" wrapText="1"/>
      <protection locked="0"/>
    </xf>
    <xf numFmtId="165" fontId="2" fillId="0" borderId="3" xfId="0" applyNumberFormat="1" applyFont="1" applyBorder="1" applyProtection="1"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0" borderId="3" xfId="0" applyFont="1" applyBorder="1" applyProtection="1">
      <protection locked="0"/>
    </xf>
    <xf numFmtId="164" fontId="2" fillId="0" borderId="3" xfId="0" applyNumberFormat="1" applyFont="1" applyBorder="1" applyProtection="1">
      <protection locked="0"/>
    </xf>
    <xf numFmtId="0" fontId="2" fillId="0" borderId="3" xfId="0" applyFont="1" applyBorder="1" applyAlignment="1" applyProtection="1">
      <alignment wrapText="1"/>
      <protection locked="0"/>
    </xf>
    <xf numFmtId="0" fontId="8" fillId="0" borderId="3" xfId="0" applyFont="1" applyBorder="1" applyAlignment="1">
      <alignment horizontal="center"/>
    </xf>
    <xf numFmtId="166" fontId="42" fillId="0" borderId="3" xfId="0" applyNumberFormat="1" applyFont="1" applyBorder="1" applyAlignment="1">
      <alignment horizontal="center" vertical="center"/>
    </xf>
    <xf numFmtId="166" fontId="42" fillId="0" borderId="3" xfId="0" applyNumberFormat="1" applyFont="1" applyBorder="1" applyAlignment="1">
      <alignment horizontal="center" vertical="top"/>
    </xf>
    <xf numFmtId="0" fontId="39" fillId="2" borderId="3" xfId="0" applyFont="1" applyFill="1" applyBorder="1" applyAlignment="1" applyProtection="1">
      <alignment horizontal="center" wrapText="1"/>
      <protection locked="0"/>
    </xf>
    <xf numFmtId="0" fontId="39" fillId="0" borderId="18" xfId="0" applyFont="1" applyBorder="1" applyAlignment="1" applyProtection="1">
      <alignment horizontal="center" wrapText="1"/>
      <protection locked="0"/>
    </xf>
    <xf numFmtId="0" fontId="39" fillId="0" borderId="3" xfId="0" applyFont="1" applyBorder="1" applyAlignment="1" applyProtection="1">
      <alignment horizontal="center" wrapText="1"/>
      <protection locked="0"/>
    </xf>
    <xf numFmtId="0" fontId="8" fillId="0" borderId="0" xfId="0" applyFont="1"/>
    <xf numFmtId="165" fontId="8" fillId="9" borderId="3" xfId="0" applyNumberFormat="1" applyFont="1" applyFill="1" applyBorder="1" applyAlignment="1">
      <alignment horizontal="center" vertical="center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vertical="center" wrapText="1"/>
      <protection locked="0"/>
    </xf>
    <xf numFmtId="0" fontId="5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49" fontId="41" fillId="0" borderId="3" xfId="0" applyNumberFormat="1" applyFont="1" applyBorder="1" applyAlignment="1">
      <alignment horizontal="center" vertical="top" wrapText="1"/>
    </xf>
    <xf numFmtId="49" fontId="41" fillId="9" borderId="3" xfId="0" applyNumberFormat="1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wrapText="1"/>
    </xf>
    <xf numFmtId="0" fontId="35" fillId="2" borderId="3" xfId="0" applyFont="1" applyFill="1" applyBorder="1" applyAlignment="1" applyProtection="1">
      <alignment wrapText="1"/>
      <protection locked="0"/>
    </xf>
    <xf numFmtId="0" fontId="35" fillId="0" borderId="18" xfId="0" applyFont="1" applyBorder="1" applyAlignment="1" applyProtection="1">
      <alignment wrapText="1"/>
      <protection locked="0"/>
    </xf>
    <xf numFmtId="0" fontId="35" fillId="0" borderId="3" xfId="0" applyFont="1" applyBorder="1" applyAlignment="1" applyProtection="1">
      <alignment wrapText="1"/>
      <protection locked="0"/>
    </xf>
    <xf numFmtId="0" fontId="2" fillId="0" borderId="0" xfId="0" applyFont="1" applyAlignment="1">
      <alignment wrapText="1"/>
    </xf>
    <xf numFmtId="0" fontId="8" fillId="2" borderId="3" xfId="0" applyFont="1" applyFill="1" applyBorder="1"/>
    <xf numFmtId="49" fontId="41" fillId="0" borderId="3" xfId="0" applyNumberFormat="1" applyFont="1" applyBorder="1" applyAlignment="1">
      <alignment horizontal="center" vertical="top"/>
    </xf>
    <xf numFmtId="49" fontId="41" fillId="0" borderId="3" xfId="0" applyNumberFormat="1" applyFont="1" applyBorder="1" applyAlignment="1">
      <alignment horizontal="center" vertical="center"/>
    </xf>
    <xf numFmtId="0" fontId="2" fillId="2" borderId="3" xfId="0" applyFont="1" applyFill="1" applyBorder="1"/>
    <xf numFmtId="49" fontId="41" fillId="9" borderId="3" xfId="0" applyNumberFormat="1" applyFont="1" applyFill="1" applyBorder="1" applyAlignment="1">
      <alignment horizontal="center" vertical="top"/>
    </xf>
    <xf numFmtId="166" fontId="42" fillId="9" borderId="3" xfId="0" applyNumberFormat="1" applyFont="1" applyFill="1" applyBorder="1" applyAlignment="1">
      <alignment horizontal="center" vertical="top"/>
    </xf>
    <xf numFmtId="0" fontId="2" fillId="9" borderId="3" xfId="0" applyFont="1" applyFill="1" applyBorder="1"/>
    <xf numFmtId="0" fontId="2" fillId="2" borderId="3" xfId="0" applyFont="1" applyFill="1" applyBorder="1" applyAlignment="1">
      <alignment horizontal="center"/>
    </xf>
    <xf numFmtId="0" fontId="35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vertical="center"/>
      <protection locked="0"/>
    </xf>
    <xf numFmtId="0" fontId="35" fillId="2" borderId="3" xfId="0" applyFont="1" applyFill="1" applyBorder="1" applyAlignment="1" applyProtection="1">
      <alignment horizontal="center" wrapText="1"/>
      <protection locked="0"/>
    </xf>
    <xf numFmtId="0" fontId="35" fillId="0" borderId="18" xfId="0" applyFont="1" applyBorder="1" applyAlignment="1" applyProtection="1">
      <alignment horizontal="center" wrapText="1"/>
      <protection locked="0"/>
    </xf>
    <xf numFmtId="0" fontId="35" fillId="0" borderId="18" xfId="0" applyFont="1" applyBorder="1" applyAlignment="1" applyProtection="1">
      <alignment horizontal="center" vertical="center" wrapText="1"/>
      <protection locked="0"/>
    </xf>
    <xf numFmtId="0" fontId="35" fillId="0" borderId="3" xfId="0" applyFont="1" applyBorder="1" applyAlignment="1" applyProtection="1">
      <alignment horizontal="center" vertical="center" wrapText="1"/>
      <protection locked="0"/>
    </xf>
    <xf numFmtId="0" fontId="2" fillId="2" borderId="0" xfId="0" applyFont="1" applyFill="1"/>
    <xf numFmtId="0" fontId="2" fillId="0" borderId="0" xfId="0" applyFont="1" applyAlignment="1">
      <alignment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9" fillId="2" borderId="13" xfId="0" applyFont="1" applyFill="1" applyBorder="1" applyAlignment="1" applyProtection="1">
      <alignment horizontal="center" vertical="center" wrapText="1"/>
      <protection locked="0"/>
    </xf>
    <xf numFmtId="0" fontId="39" fillId="2" borderId="21" xfId="0" applyFont="1" applyFill="1" applyBorder="1" applyAlignment="1" applyProtection="1">
      <alignment horizontal="center" vertical="center" wrapText="1"/>
      <protection locked="0"/>
    </xf>
    <xf numFmtId="0" fontId="39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0" fillId="0" borderId="6" xfId="0" applyBorder="1" applyAlignment="1"/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/>
    <xf numFmtId="0" fontId="0" fillId="2" borderId="3" xfId="0" applyFill="1" applyBorder="1"/>
    <xf numFmtId="0" fontId="0" fillId="0" borderId="3" xfId="0" applyBorder="1" applyAlignment="1"/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2" fillId="0" borderId="0" xfId="0" applyFont="1" applyProtection="1">
      <protection locked="0"/>
    </xf>
    <xf numFmtId="165" fontId="22" fillId="0" borderId="3" xfId="0" applyNumberFormat="1" applyFont="1" applyBorder="1" applyProtection="1">
      <protection locked="0"/>
    </xf>
    <xf numFmtId="0" fontId="22" fillId="0" borderId="3" xfId="0" applyFont="1" applyBorder="1" applyProtection="1">
      <protection locked="0"/>
    </xf>
    <xf numFmtId="0" fontId="22" fillId="0" borderId="13" xfId="0" applyFont="1" applyBorder="1" applyAlignment="1" applyProtection="1">
      <alignment horizontal="center" wrapText="1"/>
      <protection locked="0"/>
    </xf>
    <xf numFmtId="0" fontId="22" fillId="0" borderId="21" xfId="0" applyFont="1" applyBorder="1" applyAlignment="1" applyProtection="1">
      <alignment horizontal="center" wrapText="1"/>
      <protection locked="0"/>
    </xf>
    <xf numFmtId="0" fontId="22" fillId="0" borderId="18" xfId="0" applyFont="1" applyBorder="1" applyAlignment="1" applyProtection="1">
      <alignment horizontal="center" wrapText="1"/>
      <protection locked="0"/>
    </xf>
    <xf numFmtId="0" fontId="17" fillId="0" borderId="24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zoomScale="68" zoomScaleNormal="112" zoomScaleSheetLayoutView="68" workbookViewId="0">
      <selection activeCell="D9" sqref="D9"/>
    </sheetView>
  </sheetViews>
  <sheetFormatPr defaultRowHeight="14.5" x14ac:dyDescent="0.35"/>
  <cols>
    <col min="1" max="1" width="24.7265625" customWidth="1"/>
    <col min="2" max="2" width="42.26953125" customWidth="1"/>
    <col min="3" max="3" width="34.81640625" style="47" bestFit="1" customWidth="1"/>
    <col min="4" max="4" width="76.81640625" customWidth="1"/>
  </cols>
  <sheetData>
    <row r="1" spans="1:4" ht="51" customHeight="1" x14ac:dyDescent="0.35">
      <c r="A1" s="340" t="s">
        <v>0</v>
      </c>
      <c r="B1" s="341"/>
      <c r="C1" s="341"/>
      <c r="D1" s="342"/>
    </row>
    <row r="2" spans="1:4" ht="23" x14ac:dyDescent="0.35">
      <c r="A2" s="343" t="s">
        <v>1</v>
      </c>
      <c r="B2" s="344"/>
      <c r="C2" s="138" t="s">
        <v>2</v>
      </c>
      <c r="D2" s="225" t="s">
        <v>164</v>
      </c>
    </row>
    <row r="3" spans="1:4" ht="20" x14ac:dyDescent="0.35">
      <c r="A3" s="4" t="s">
        <v>3</v>
      </c>
      <c r="B3" s="7" t="s">
        <v>118</v>
      </c>
      <c r="C3" s="8" t="s">
        <v>165</v>
      </c>
      <c r="D3" s="8" t="s">
        <v>245</v>
      </c>
    </row>
    <row r="4" spans="1:4" ht="33.75" customHeight="1" x14ac:dyDescent="0.35">
      <c r="A4" s="1" t="s">
        <v>4</v>
      </c>
      <c r="B4" s="1" t="s">
        <v>5</v>
      </c>
      <c r="C4" s="2" t="s">
        <v>6</v>
      </c>
      <c r="D4" s="226" t="s">
        <v>5</v>
      </c>
    </row>
    <row r="5" spans="1:4" ht="20.5" x14ac:dyDescent="0.35">
      <c r="A5" s="174">
        <v>1</v>
      </c>
      <c r="B5" s="3" t="s">
        <v>7</v>
      </c>
      <c r="C5" s="175">
        <f>'1. B2B- IPP'!M4</f>
        <v>0</v>
      </c>
      <c r="D5" s="227"/>
    </row>
    <row r="6" spans="1:4" ht="20.5" x14ac:dyDescent="0.35">
      <c r="A6" s="174">
        <v>2</v>
      </c>
      <c r="B6" s="3" t="s">
        <v>8</v>
      </c>
      <c r="C6" s="175">
        <f>'2. B2C'!L4</f>
        <v>6330</v>
      </c>
      <c r="D6" s="227" t="s">
        <v>129</v>
      </c>
    </row>
    <row r="7" spans="1:4" ht="20.5" x14ac:dyDescent="0.35">
      <c r="A7" s="174">
        <v>3</v>
      </c>
      <c r="B7" s="3" t="s">
        <v>9</v>
      </c>
      <c r="C7" s="175">
        <f>'3. B2B-Non Power'!L4</f>
        <v>0</v>
      </c>
      <c r="D7" s="227"/>
    </row>
    <row r="8" spans="1:4" ht="20.5" x14ac:dyDescent="0.35">
      <c r="A8" s="174">
        <v>4</v>
      </c>
      <c r="B8" s="3" t="s">
        <v>10</v>
      </c>
      <c r="C8" s="175">
        <f>'4. Goods Sending Expense'!L4</f>
        <v>2620</v>
      </c>
      <c r="D8" s="227" t="s">
        <v>150</v>
      </c>
    </row>
    <row r="9" spans="1:4" ht="20.5" x14ac:dyDescent="0.35">
      <c r="A9" s="174">
        <v>5</v>
      </c>
      <c r="B9" s="3" t="s">
        <v>11</v>
      </c>
      <c r="C9" s="175">
        <f>'5. Goods Receiving Expense'!L4</f>
        <v>340</v>
      </c>
      <c r="D9" s="227" t="s">
        <v>150</v>
      </c>
    </row>
    <row r="10" spans="1:4" ht="20.5" x14ac:dyDescent="0.35">
      <c r="A10" s="174">
        <v>6</v>
      </c>
      <c r="B10" s="3" t="s">
        <v>12</v>
      </c>
      <c r="C10" s="175">
        <f>'6.WH-Depot Maintenance'!D3</f>
        <v>400</v>
      </c>
      <c r="D10" s="227" t="s">
        <v>149</v>
      </c>
    </row>
    <row r="11" spans="1:4" ht="20.5" x14ac:dyDescent="0.35">
      <c r="A11" s="174">
        <v>7</v>
      </c>
      <c r="B11" s="3" t="s">
        <v>13</v>
      </c>
      <c r="C11" s="175">
        <f>'7. Utilities'!F2</f>
        <v>772</v>
      </c>
      <c r="D11" s="227" t="s">
        <v>181</v>
      </c>
    </row>
    <row r="12" spans="1:4" ht="20.5" x14ac:dyDescent="0.35">
      <c r="A12" s="174">
        <v>8</v>
      </c>
      <c r="B12" s="3" t="s">
        <v>14</v>
      </c>
      <c r="C12" s="175">
        <f>'8. Printing'!E2</f>
        <v>0</v>
      </c>
      <c r="D12" s="227"/>
    </row>
    <row r="13" spans="1:4" ht="20.5" x14ac:dyDescent="0.35">
      <c r="A13" s="174">
        <v>9</v>
      </c>
      <c r="B13" s="3" t="s">
        <v>15</v>
      </c>
      <c r="C13" s="175">
        <f>'9. Stationary'!E2</f>
        <v>0</v>
      </c>
      <c r="D13" s="227"/>
    </row>
    <row r="14" spans="1:4" ht="20.5" x14ac:dyDescent="0.35">
      <c r="A14" s="174">
        <v>10</v>
      </c>
      <c r="B14" s="3" t="s">
        <v>16</v>
      </c>
      <c r="C14" s="175">
        <f>'10-11.Delivery Van Expense'!D2</f>
        <v>0</v>
      </c>
      <c r="D14" s="227"/>
    </row>
    <row r="15" spans="1:4" ht="20.5" x14ac:dyDescent="0.35">
      <c r="A15" s="174">
        <v>11</v>
      </c>
      <c r="B15" s="3" t="s">
        <v>17</v>
      </c>
      <c r="C15" s="175">
        <f>'10-11.Delivery Van Expense'!D13</f>
        <v>0</v>
      </c>
      <c r="D15" s="227"/>
    </row>
    <row r="16" spans="1:4" ht="20.5" x14ac:dyDescent="0.35">
      <c r="A16" s="174">
        <v>12</v>
      </c>
      <c r="B16" s="3" t="s">
        <v>18</v>
      </c>
      <c r="C16" s="175">
        <f>'12. Entertainment'!D2</f>
        <v>0</v>
      </c>
      <c r="D16" s="227"/>
    </row>
    <row r="17" spans="1:7" ht="20.5" x14ac:dyDescent="0.35">
      <c r="A17" s="174">
        <v>13</v>
      </c>
      <c r="B17" s="3" t="s">
        <v>19</v>
      </c>
      <c r="C17" s="175">
        <f>'13. Food Allowance'!D2</f>
        <v>0</v>
      </c>
      <c r="D17" s="227"/>
    </row>
    <row r="18" spans="1:7" ht="20.5" x14ac:dyDescent="0.35">
      <c r="A18" s="174">
        <v>14</v>
      </c>
      <c r="B18" s="3" t="s">
        <v>20</v>
      </c>
      <c r="C18" s="175">
        <f>'14. Conveyance'!D2</f>
        <v>50</v>
      </c>
      <c r="D18" s="227" t="s">
        <v>21</v>
      </c>
    </row>
    <row r="19" spans="1:7" ht="20.5" x14ac:dyDescent="0.35">
      <c r="A19" s="174">
        <v>15</v>
      </c>
      <c r="B19" s="3" t="s">
        <v>243</v>
      </c>
      <c r="C19" s="175">
        <f>'15. For Security'!D2</f>
        <v>2200</v>
      </c>
      <c r="D19" s="228" t="s">
        <v>244</v>
      </c>
      <c r="G19" t="s">
        <v>127</v>
      </c>
    </row>
    <row r="20" spans="1:7" ht="20.5" x14ac:dyDescent="0.35">
      <c r="A20" s="174"/>
      <c r="B20" s="4" t="s">
        <v>22</v>
      </c>
      <c r="C20" s="175">
        <f>SUM(C5:C19)</f>
        <v>12712</v>
      </c>
      <c r="D20" s="228"/>
    </row>
    <row r="21" spans="1:7" ht="20.5" x14ac:dyDescent="0.35">
      <c r="A21" s="229"/>
      <c r="B21" s="230"/>
      <c r="C21" s="173"/>
      <c r="D21" s="231"/>
    </row>
    <row r="22" spans="1:7" ht="20.5" x14ac:dyDescent="0.35">
      <c r="A22" s="229"/>
      <c r="B22" s="232"/>
      <c r="C22" s="1" t="s">
        <v>23</v>
      </c>
      <c r="D22" s="2" t="s">
        <v>24</v>
      </c>
    </row>
    <row r="23" spans="1:7" ht="20.5" x14ac:dyDescent="0.35">
      <c r="A23" s="229"/>
      <c r="B23" s="230"/>
      <c r="C23" s="174" t="s">
        <v>25</v>
      </c>
      <c r="D23" s="233">
        <f>'1. B2B- IPP'!D4</f>
        <v>0</v>
      </c>
    </row>
    <row r="24" spans="1:7" ht="20.5" x14ac:dyDescent="0.35">
      <c r="A24" s="229"/>
      <c r="B24" s="230"/>
      <c r="C24" s="174" t="s">
        <v>8</v>
      </c>
      <c r="D24" s="233">
        <f>'2. B2C'!D4</f>
        <v>752</v>
      </c>
    </row>
    <row r="25" spans="1:7" ht="20.5" x14ac:dyDescent="0.35">
      <c r="A25" s="229"/>
      <c r="B25" s="230"/>
      <c r="C25" s="174" t="s">
        <v>26</v>
      </c>
      <c r="D25" s="233">
        <f>'3. B2B-Non Power'!D4</f>
        <v>0</v>
      </c>
    </row>
    <row r="26" spans="1:7" ht="20.5" x14ac:dyDescent="0.35">
      <c r="A26" s="229"/>
      <c r="B26" s="230"/>
      <c r="C26" s="174" t="s">
        <v>10</v>
      </c>
      <c r="D26" s="233">
        <f>'4. Goods Sending Expense'!D4</f>
        <v>327</v>
      </c>
    </row>
    <row r="27" spans="1:7" ht="20.5" x14ac:dyDescent="0.35">
      <c r="A27" s="229"/>
      <c r="B27" s="230"/>
      <c r="C27" s="174" t="s">
        <v>27</v>
      </c>
      <c r="D27" s="233">
        <f>'5. Goods Receiving Expense'!D4</f>
        <v>240</v>
      </c>
    </row>
    <row r="28" spans="1:7" ht="20.5" x14ac:dyDescent="0.35">
      <c r="A28" s="229"/>
      <c r="B28" s="230"/>
      <c r="C28" s="1" t="s">
        <v>28</v>
      </c>
      <c r="D28" s="234">
        <f>SUM(D23:D27)</f>
        <v>1319</v>
      </c>
    </row>
    <row r="29" spans="1:7" ht="20.5" x14ac:dyDescent="0.35">
      <c r="A29" s="229"/>
      <c r="B29" s="230"/>
      <c r="C29" s="235"/>
      <c r="D29" s="236"/>
    </row>
    <row r="30" spans="1:7" ht="20.5" x14ac:dyDescent="0.35">
      <c r="A30" s="229"/>
      <c r="B30" s="230"/>
      <c r="C30" s="235"/>
      <c r="D30" s="236"/>
    </row>
    <row r="31" spans="1:7" ht="20.5" x14ac:dyDescent="0.35">
      <c r="A31" s="229"/>
      <c r="B31" s="230"/>
      <c r="C31" s="235"/>
      <c r="D31" s="236"/>
    </row>
    <row r="32" spans="1:7" ht="20.5" x14ac:dyDescent="0.35">
      <c r="A32" s="229"/>
      <c r="B32" s="230"/>
      <c r="C32" s="235"/>
      <c r="D32" s="236"/>
    </row>
    <row r="33" spans="1:6" ht="20.5" x14ac:dyDescent="0.35">
      <c r="A33" s="229"/>
      <c r="B33" s="230"/>
      <c r="C33" s="235"/>
      <c r="D33" s="236"/>
    </row>
    <row r="34" spans="1:6" ht="20.5" x14ac:dyDescent="0.35">
      <c r="A34" s="229"/>
      <c r="B34" s="230"/>
      <c r="C34" s="6"/>
      <c r="D34" s="237"/>
    </row>
    <row r="35" spans="1:6" ht="20.5" x14ac:dyDescent="0.35">
      <c r="A35" s="229"/>
      <c r="B35" s="230"/>
      <c r="C35" s="6"/>
      <c r="D35" s="237"/>
    </row>
    <row r="36" spans="1:6" ht="20.5" x14ac:dyDescent="0.35">
      <c r="A36" s="229"/>
      <c r="B36" s="230"/>
      <c r="C36" s="6"/>
      <c r="D36" s="237"/>
    </row>
    <row r="37" spans="1:6" ht="20.5" x14ac:dyDescent="0.35">
      <c r="A37" s="238" t="s">
        <v>29</v>
      </c>
      <c r="B37" s="5" t="s">
        <v>81</v>
      </c>
      <c r="C37" s="5" t="s">
        <v>30</v>
      </c>
      <c r="D37" s="239" t="s">
        <v>132</v>
      </c>
      <c r="F37" s="6" t="s">
        <v>127</v>
      </c>
    </row>
    <row r="38" spans="1:6" ht="20.5" x14ac:dyDescent="0.35">
      <c r="A38" s="240"/>
      <c r="B38" s="6"/>
      <c r="C38" s="6"/>
      <c r="D38" s="241"/>
    </row>
    <row r="39" spans="1:6" ht="20.5" x14ac:dyDescent="0.35">
      <c r="A39" s="240"/>
      <c r="B39" s="6"/>
      <c r="C39" s="6"/>
      <c r="D39" s="241"/>
    </row>
    <row r="40" spans="1:6" ht="20.5" x14ac:dyDescent="0.35">
      <c r="A40" s="229"/>
      <c r="B40" s="230"/>
      <c r="C40" s="6"/>
      <c r="D40" s="237"/>
    </row>
    <row r="41" spans="1:6" ht="20.5" x14ac:dyDescent="0.35">
      <c r="A41" s="229"/>
      <c r="B41" s="230"/>
      <c r="C41" s="6"/>
      <c r="D41" s="237"/>
    </row>
    <row r="42" spans="1:6" ht="20.5" x14ac:dyDescent="0.35">
      <c r="A42" s="229"/>
      <c r="B42" s="230"/>
      <c r="C42" s="6"/>
      <c r="D42" s="237"/>
    </row>
    <row r="43" spans="1:6" ht="20.5" x14ac:dyDescent="0.35">
      <c r="A43" s="242"/>
      <c r="B43" s="230"/>
      <c r="C43" s="6" t="s">
        <v>141</v>
      </c>
      <c r="D43" s="237"/>
    </row>
    <row r="44" spans="1:6" ht="20.5" x14ac:dyDescent="0.35">
      <c r="A44" s="242" t="s">
        <v>133</v>
      </c>
      <c r="B44" s="243"/>
      <c r="C44" s="243" t="s">
        <v>31</v>
      </c>
      <c r="D44" s="244" t="s">
        <v>32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4.5" x14ac:dyDescent="0.35"/>
  <cols>
    <col min="1" max="1" width="9" customWidth="1"/>
    <col min="2" max="2" width="11.54296875" customWidth="1"/>
    <col min="3" max="3" width="14" bestFit="1" customWidth="1"/>
    <col min="8" max="8" width="11.453125" bestFit="1" customWidth="1"/>
    <col min="9" max="9" width="11.81640625" customWidth="1"/>
    <col min="10" max="10" width="9.453125" bestFit="1" customWidth="1"/>
    <col min="11" max="11" width="5.453125" customWidth="1"/>
    <col min="12" max="12" width="6.453125" bestFit="1" customWidth="1"/>
  </cols>
  <sheetData>
    <row r="1" spans="1:13" ht="21.5" thickBot="1" x14ac:dyDescent="0.4">
      <c r="A1" s="9"/>
      <c r="B1" s="9"/>
      <c r="C1" s="345" t="s">
        <v>33</v>
      </c>
      <c r="D1" s="346"/>
      <c r="E1" s="347"/>
      <c r="F1" s="10"/>
      <c r="G1" s="11"/>
      <c r="H1" s="9"/>
      <c r="I1" s="9"/>
      <c r="J1" s="9"/>
      <c r="K1" s="9"/>
      <c r="L1" s="9"/>
      <c r="M1" s="9"/>
    </row>
    <row r="2" spans="1:13" x14ac:dyDescent="0.35">
      <c r="A2" s="9"/>
      <c r="B2" s="9"/>
      <c r="C2" s="9"/>
      <c r="D2" s="9"/>
      <c r="E2" s="9"/>
      <c r="F2" s="9"/>
      <c r="G2" s="11"/>
      <c r="H2" s="348" t="s">
        <v>34</v>
      </c>
      <c r="I2" s="348"/>
      <c r="J2" s="348"/>
      <c r="K2" s="348"/>
      <c r="L2" s="348"/>
      <c r="M2" s="9"/>
    </row>
    <row r="3" spans="1:13" ht="52.5" thickBot="1" x14ac:dyDescent="0.4">
      <c r="A3" s="13" t="s">
        <v>35</v>
      </c>
      <c r="B3" s="13" t="s">
        <v>36</v>
      </c>
      <c r="C3" s="13" t="s">
        <v>37</v>
      </c>
      <c r="D3" s="14" t="s">
        <v>38</v>
      </c>
      <c r="E3" s="14" t="s">
        <v>39</v>
      </c>
      <c r="F3" s="14" t="s">
        <v>40</v>
      </c>
      <c r="G3" s="14" t="s">
        <v>41</v>
      </c>
      <c r="H3" s="13" t="s">
        <v>42</v>
      </c>
      <c r="I3" s="14" t="s">
        <v>43</v>
      </c>
      <c r="J3" s="13" t="s">
        <v>44</v>
      </c>
      <c r="K3" s="13" t="s">
        <v>45</v>
      </c>
      <c r="L3" s="13" t="s">
        <v>46</v>
      </c>
      <c r="M3" s="13" t="s">
        <v>22</v>
      </c>
    </row>
    <row r="4" spans="1:13" ht="15" thickBot="1" x14ac:dyDescent="0.4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3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3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3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3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3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3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3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3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3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3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3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3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3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3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3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3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3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3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3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3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3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3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3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3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3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3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3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3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3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3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3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3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3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3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3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3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3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3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3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3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3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3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3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3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3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3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3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3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3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3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3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3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3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3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3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3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3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3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3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3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3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3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3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3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3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3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3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3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3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3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3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3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3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3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3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3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3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3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3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3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3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3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3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3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3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3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3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3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3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3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3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3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3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3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3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3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3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3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3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3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3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3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3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3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3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3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3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3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3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3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3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3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3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3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3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3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3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3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3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3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3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3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3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3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3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3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3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3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3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3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3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3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3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3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3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3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3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3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3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3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3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3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3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3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3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3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3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3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3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3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3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3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3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3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3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3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3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3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3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3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3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3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3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3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3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3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3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3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3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3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3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3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3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3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3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3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3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3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3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3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3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3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3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3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3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3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3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3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3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3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3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3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3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3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3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3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3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3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3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3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3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3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3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3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3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3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3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3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3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3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3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3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3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3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3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3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3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3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3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3"/>
  <sheetViews>
    <sheetView zoomScale="70" zoomScaleNormal="70" workbookViewId="0">
      <pane xSplit="12" ySplit="4" topLeftCell="M17" activePane="bottomRight" state="frozen"/>
      <selection pane="topRight" activeCell="M1" sqref="M1"/>
      <selection pane="bottomLeft" activeCell="A5" sqref="A5"/>
      <selection pane="bottomRight" activeCell="F21" sqref="F21"/>
    </sheetView>
  </sheetViews>
  <sheetFormatPr defaultRowHeight="21" x14ac:dyDescent="0.5"/>
  <cols>
    <col min="1" max="1" width="24.453125" style="338" customWidth="1"/>
    <col min="2" max="2" width="18.1796875" style="183" customWidth="1"/>
    <col min="3" max="3" width="31.453125" style="323" bestFit="1" customWidth="1"/>
    <col min="4" max="4" width="24" style="310" customWidth="1"/>
    <col min="5" max="5" width="19.453125" style="339" customWidth="1"/>
    <col min="6" max="6" width="17.54296875" style="339" customWidth="1"/>
    <col min="7" max="7" width="22.54296875" style="182" customWidth="1"/>
    <col min="8" max="8" width="25.453125" style="339" customWidth="1"/>
    <col min="9" max="9" width="13.453125" style="122" customWidth="1"/>
    <col min="10" max="10" width="13.26953125" style="122" customWidth="1"/>
    <col min="11" max="11" width="13.1796875" style="122" customWidth="1"/>
    <col min="12" max="12" width="14.81640625" style="338" customWidth="1"/>
    <col min="13" max="16384" width="8.7265625" style="122"/>
  </cols>
  <sheetData>
    <row r="1" spans="1:12" ht="20" x14ac:dyDescent="0.35">
      <c r="A1" s="355" t="s">
        <v>8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</row>
    <row r="2" spans="1:12" ht="20" x14ac:dyDescent="0.35">
      <c r="A2" s="269"/>
      <c r="B2" s="1"/>
      <c r="C2" s="314"/>
      <c r="D2" s="270"/>
      <c r="E2" s="270"/>
      <c r="F2" s="270"/>
      <c r="G2" s="355" t="s">
        <v>34</v>
      </c>
      <c r="H2" s="355"/>
      <c r="I2" s="355"/>
      <c r="J2" s="355"/>
      <c r="K2" s="355"/>
      <c r="L2" s="7"/>
    </row>
    <row r="3" spans="1:12" ht="40" x14ac:dyDescent="0.35">
      <c r="A3" s="271" t="s">
        <v>35</v>
      </c>
      <c r="B3" s="226" t="s">
        <v>36</v>
      </c>
      <c r="C3" s="226" t="s">
        <v>37</v>
      </c>
      <c r="D3" s="226" t="s">
        <v>38</v>
      </c>
      <c r="E3" s="226" t="s">
        <v>47</v>
      </c>
      <c r="F3" s="226" t="s">
        <v>48</v>
      </c>
      <c r="G3" s="226" t="s">
        <v>115</v>
      </c>
      <c r="H3" s="226" t="s">
        <v>49</v>
      </c>
      <c r="I3" s="226" t="s">
        <v>44</v>
      </c>
      <c r="J3" s="226" t="s">
        <v>45</v>
      </c>
      <c r="K3" s="226" t="s">
        <v>46</v>
      </c>
      <c r="L3" s="8" t="s">
        <v>22</v>
      </c>
    </row>
    <row r="4" spans="1:12" ht="20" x14ac:dyDescent="0.35">
      <c r="A4" s="272"/>
      <c r="B4" s="273"/>
      <c r="C4" s="315"/>
      <c r="D4" s="273">
        <f>SUM(D5:D95)</f>
        <v>752</v>
      </c>
      <c r="E4" s="273">
        <f>SUM(E6:E10)</f>
        <v>0</v>
      </c>
      <c r="F4" s="273">
        <f>SUM(F5:F95)</f>
        <v>4510</v>
      </c>
      <c r="G4" s="273"/>
      <c r="H4" s="273">
        <f>SUM(H5:H95)</f>
        <v>1820</v>
      </c>
      <c r="I4" s="273">
        <f>SUM(I6:I10)</f>
        <v>0</v>
      </c>
      <c r="J4" s="273">
        <f>SUM(J6:J108)</f>
        <v>0</v>
      </c>
      <c r="K4" s="273">
        <f>SUM(K6:K10)</f>
        <v>0</v>
      </c>
      <c r="L4" s="274">
        <f>SUM(E4,F4,H4,I4,J4,)</f>
        <v>6330</v>
      </c>
    </row>
    <row r="5" spans="1:12" s="279" customFormat="1" ht="34.5" customHeight="1" x14ac:dyDescent="0.5">
      <c r="A5" s="275">
        <v>46033</v>
      </c>
      <c r="B5" s="304" t="s">
        <v>166</v>
      </c>
      <c r="C5" s="316" t="s">
        <v>167</v>
      </c>
      <c r="D5" s="304">
        <v>30</v>
      </c>
      <c r="F5" s="279">
        <v>150</v>
      </c>
      <c r="G5" s="291" t="s">
        <v>161</v>
      </c>
      <c r="H5" s="279">
        <v>100</v>
      </c>
      <c r="L5" s="276">
        <f>SUM(F5:H5)</f>
        <v>250</v>
      </c>
    </row>
    <row r="6" spans="1:12" s="324" customFormat="1" ht="52.5" customHeight="1" x14ac:dyDescent="0.5">
      <c r="A6" s="275">
        <v>46034</v>
      </c>
      <c r="B6" s="304">
        <v>98022</v>
      </c>
      <c r="C6" s="316" t="s">
        <v>168</v>
      </c>
      <c r="D6" s="304">
        <v>120</v>
      </c>
      <c r="E6" s="276"/>
      <c r="F6" s="279">
        <v>270</v>
      </c>
      <c r="G6" s="291" t="s">
        <v>126</v>
      </c>
      <c r="H6" s="279">
        <v>30</v>
      </c>
      <c r="I6" s="7"/>
      <c r="J6" s="7"/>
      <c r="K6" s="7"/>
      <c r="L6" s="276">
        <f t="shared" ref="L6:L21" si="0">SUM(F6:H6)</f>
        <v>300</v>
      </c>
    </row>
    <row r="7" spans="1:12" s="324" customFormat="1" ht="52.5" customHeight="1" x14ac:dyDescent="0.5">
      <c r="A7" s="275">
        <v>46035</v>
      </c>
      <c r="B7" s="292" t="s">
        <v>200</v>
      </c>
      <c r="C7" s="292" t="s">
        <v>174</v>
      </c>
      <c r="D7" s="305">
        <v>171</v>
      </c>
      <c r="E7" s="276"/>
      <c r="F7" s="276">
        <v>1050</v>
      </c>
      <c r="G7" s="276" t="s">
        <v>126</v>
      </c>
      <c r="H7" s="7">
        <v>200</v>
      </c>
      <c r="I7" s="7"/>
      <c r="J7" s="7"/>
      <c r="K7" s="7"/>
      <c r="L7" s="276">
        <f t="shared" si="0"/>
        <v>1250</v>
      </c>
    </row>
    <row r="8" spans="1:12" s="324" customFormat="1" ht="54.5" customHeight="1" x14ac:dyDescent="0.5">
      <c r="A8" s="275">
        <v>46035</v>
      </c>
      <c r="B8" s="292" t="s">
        <v>202</v>
      </c>
      <c r="C8" s="292" t="s">
        <v>175</v>
      </c>
      <c r="D8" s="305">
        <v>13</v>
      </c>
      <c r="E8" s="276"/>
      <c r="F8" s="276">
        <v>30</v>
      </c>
      <c r="G8" s="276" t="s">
        <v>161</v>
      </c>
      <c r="H8" s="7">
        <v>30</v>
      </c>
      <c r="I8" s="7"/>
      <c r="J8" s="7"/>
      <c r="K8" s="7"/>
      <c r="L8" s="276">
        <f t="shared" si="0"/>
        <v>60</v>
      </c>
    </row>
    <row r="9" spans="1:12" s="324" customFormat="1" ht="46.5" customHeight="1" x14ac:dyDescent="0.5">
      <c r="A9" s="275">
        <v>46036</v>
      </c>
      <c r="B9" s="325" t="s">
        <v>204</v>
      </c>
      <c r="C9" s="317" t="s">
        <v>167</v>
      </c>
      <c r="D9" s="306">
        <v>13</v>
      </c>
      <c r="E9" s="276"/>
      <c r="F9" s="276">
        <v>100</v>
      </c>
      <c r="G9" s="276" t="s">
        <v>161</v>
      </c>
      <c r="H9" s="7">
        <v>100</v>
      </c>
      <c r="I9" s="7"/>
      <c r="J9" s="7"/>
      <c r="K9" s="7"/>
      <c r="L9" s="276">
        <f t="shared" si="0"/>
        <v>200</v>
      </c>
    </row>
    <row r="10" spans="1:12" s="324" customFormat="1" ht="49.5" customHeight="1" x14ac:dyDescent="0.5">
      <c r="A10" s="275">
        <v>46036</v>
      </c>
      <c r="B10" s="325" t="s">
        <v>205</v>
      </c>
      <c r="C10" s="317" t="s">
        <v>179</v>
      </c>
      <c r="D10" s="306">
        <v>27</v>
      </c>
      <c r="E10" s="276"/>
      <c r="F10" s="276">
        <v>250</v>
      </c>
      <c r="G10" s="276" t="s">
        <v>126</v>
      </c>
      <c r="H10" s="7">
        <v>200</v>
      </c>
      <c r="I10" s="7"/>
      <c r="J10" s="7"/>
      <c r="K10" s="7"/>
      <c r="L10" s="276">
        <f t="shared" si="0"/>
        <v>450</v>
      </c>
    </row>
    <row r="11" spans="1:12" s="324" customFormat="1" ht="57.5" customHeight="1" x14ac:dyDescent="0.5">
      <c r="A11" s="275">
        <v>46039</v>
      </c>
      <c r="B11" s="326" t="s">
        <v>184</v>
      </c>
      <c r="C11" s="292" t="s">
        <v>185</v>
      </c>
      <c r="D11" s="282">
        <v>12</v>
      </c>
      <c r="E11" s="276"/>
      <c r="F11" s="276">
        <v>60</v>
      </c>
      <c r="G11" s="276" t="s">
        <v>161</v>
      </c>
      <c r="H11" s="7">
        <v>60</v>
      </c>
      <c r="I11" s="7"/>
      <c r="J11" s="7"/>
      <c r="K11" s="7"/>
      <c r="L11" s="276">
        <f t="shared" si="0"/>
        <v>120</v>
      </c>
    </row>
    <row r="12" spans="1:12" s="327" customFormat="1" ht="56.5" customHeight="1" x14ac:dyDescent="0.35">
      <c r="A12" s="275">
        <v>46040</v>
      </c>
      <c r="B12" s="325" t="s">
        <v>186</v>
      </c>
      <c r="C12" s="317" t="s">
        <v>187</v>
      </c>
      <c r="D12" s="306">
        <v>27</v>
      </c>
      <c r="E12" s="276"/>
      <c r="F12" s="349">
        <v>1150</v>
      </c>
      <c r="G12" s="349" t="s">
        <v>190</v>
      </c>
      <c r="H12" s="352">
        <v>550</v>
      </c>
      <c r="I12" s="7"/>
      <c r="J12" s="7"/>
      <c r="K12" s="7"/>
      <c r="L12" s="276">
        <f t="shared" si="0"/>
        <v>1700</v>
      </c>
    </row>
    <row r="13" spans="1:12" s="327" customFormat="1" ht="46" customHeight="1" x14ac:dyDescent="0.35">
      <c r="A13" s="275">
        <v>46040</v>
      </c>
      <c r="B13" s="325" t="s">
        <v>188</v>
      </c>
      <c r="C13" s="317" t="s">
        <v>189</v>
      </c>
      <c r="D13" s="306">
        <v>79</v>
      </c>
      <c r="E13" s="276"/>
      <c r="F13" s="350"/>
      <c r="G13" s="350"/>
      <c r="H13" s="353"/>
      <c r="I13" s="7"/>
      <c r="J13" s="7"/>
      <c r="K13" s="7"/>
      <c r="L13" s="276">
        <f t="shared" si="0"/>
        <v>0</v>
      </c>
    </row>
    <row r="14" spans="1:12" s="327" customFormat="1" ht="48.75" customHeight="1" x14ac:dyDescent="0.5">
      <c r="A14" s="275">
        <v>46040</v>
      </c>
      <c r="B14" s="326" t="s">
        <v>182</v>
      </c>
      <c r="C14" s="292" t="s">
        <v>183</v>
      </c>
      <c r="D14" s="282">
        <v>12</v>
      </c>
      <c r="E14" s="276"/>
      <c r="F14" s="351"/>
      <c r="G14" s="351"/>
      <c r="H14" s="354"/>
      <c r="I14" s="7"/>
      <c r="J14" s="7"/>
      <c r="K14" s="7"/>
      <c r="L14" s="276">
        <f t="shared" si="0"/>
        <v>0</v>
      </c>
    </row>
    <row r="15" spans="1:12" s="330" customFormat="1" ht="49.5" customHeight="1" x14ac:dyDescent="0.35">
      <c r="A15" s="311">
        <v>46041</v>
      </c>
      <c r="B15" s="328" t="s">
        <v>210</v>
      </c>
      <c r="C15" s="318" t="s">
        <v>192</v>
      </c>
      <c r="D15" s="329">
        <v>13</v>
      </c>
      <c r="E15" s="312"/>
      <c r="F15" s="349">
        <v>350</v>
      </c>
      <c r="G15" s="349" t="s">
        <v>126</v>
      </c>
      <c r="H15" s="352">
        <v>200</v>
      </c>
      <c r="I15" s="313"/>
      <c r="J15" s="313"/>
      <c r="K15" s="313"/>
      <c r="L15" s="312">
        <f t="shared" si="0"/>
        <v>550</v>
      </c>
    </row>
    <row r="16" spans="1:12" s="327" customFormat="1" ht="35.5" customHeight="1" x14ac:dyDescent="0.35">
      <c r="A16" s="275">
        <v>46041</v>
      </c>
      <c r="B16" s="325" t="s">
        <v>208</v>
      </c>
      <c r="C16" s="317" t="s">
        <v>193</v>
      </c>
      <c r="D16" s="306">
        <v>4</v>
      </c>
      <c r="E16" s="276"/>
      <c r="F16" s="350"/>
      <c r="G16" s="350"/>
      <c r="H16" s="353"/>
      <c r="I16" s="7"/>
      <c r="J16" s="7"/>
      <c r="K16" s="7"/>
      <c r="L16" s="312">
        <f t="shared" si="0"/>
        <v>0</v>
      </c>
    </row>
    <row r="17" spans="1:12" s="327" customFormat="1" ht="41.5" customHeight="1" x14ac:dyDescent="0.35">
      <c r="A17" s="275">
        <v>46041</v>
      </c>
      <c r="B17" s="325" t="s">
        <v>211</v>
      </c>
      <c r="C17" s="317" t="s">
        <v>194</v>
      </c>
      <c r="D17" s="306">
        <v>8</v>
      </c>
      <c r="E17" s="276"/>
      <c r="F17" s="351"/>
      <c r="G17" s="351"/>
      <c r="H17" s="354"/>
      <c r="I17" s="7"/>
      <c r="J17" s="7"/>
      <c r="K17" s="7"/>
      <c r="L17" s="312">
        <f t="shared" si="0"/>
        <v>0</v>
      </c>
    </row>
    <row r="18" spans="1:12" s="327" customFormat="1" ht="52" customHeight="1" x14ac:dyDescent="0.35">
      <c r="A18" s="275">
        <v>46041</v>
      </c>
      <c r="B18" s="325" t="s">
        <v>213</v>
      </c>
      <c r="C18" s="317" t="s">
        <v>167</v>
      </c>
      <c r="D18" s="306">
        <v>13</v>
      </c>
      <c r="E18" s="276"/>
      <c r="F18" s="276">
        <v>100</v>
      </c>
      <c r="G18" s="276" t="s">
        <v>161</v>
      </c>
      <c r="H18" s="7">
        <v>100</v>
      </c>
      <c r="I18" s="7"/>
      <c r="J18" s="7"/>
      <c r="K18" s="7"/>
      <c r="L18" s="312">
        <f t="shared" si="0"/>
        <v>200</v>
      </c>
    </row>
    <row r="19" spans="1:12" s="327" customFormat="1" ht="40" x14ac:dyDescent="0.4">
      <c r="A19" s="275">
        <v>46041</v>
      </c>
      <c r="B19" s="325" t="s">
        <v>214</v>
      </c>
      <c r="C19" s="317" t="s">
        <v>195</v>
      </c>
      <c r="D19" s="306">
        <v>210</v>
      </c>
      <c r="E19" s="276"/>
      <c r="F19" s="276">
        <v>1000</v>
      </c>
      <c r="G19" s="276" t="s">
        <v>190</v>
      </c>
      <c r="H19" s="7">
        <v>250</v>
      </c>
      <c r="I19" s="283"/>
      <c r="J19" s="7"/>
      <c r="K19" s="284"/>
      <c r="L19" s="312">
        <f t="shared" si="0"/>
        <v>1250</v>
      </c>
    </row>
    <row r="20" spans="1:12" s="327" customFormat="1" x14ac:dyDescent="0.5">
      <c r="A20" s="275"/>
      <c r="B20" s="282"/>
      <c r="C20" s="281"/>
      <c r="D20" s="282"/>
      <c r="E20" s="276"/>
      <c r="F20" s="276"/>
      <c r="G20" s="276"/>
      <c r="H20" s="7"/>
      <c r="I20" s="284"/>
      <c r="J20" s="7"/>
      <c r="K20" s="284"/>
      <c r="L20" s="312">
        <f t="shared" si="0"/>
        <v>0</v>
      </c>
    </row>
    <row r="21" spans="1:12" s="327" customFormat="1" x14ac:dyDescent="0.5">
      <c r="A21" s="275"/>
      <c r="B21" s="281"/>
      <c r="C21" s="281"/>
      <c r="D21" s="282"/>
      <c r="E21" s="276"/>
      <c r="F21" s="276"/>
      <c r="G21" s="276"/>
      <c r="H21" s="7"/>
      <c r="I21" s="284"/>
      <c r="J21" s="7"/>
      <c r="K21" s="284"/>
      <c r="L21" s="312">
        <f t="shared" si="0"/>
        <v>0</v>
      </c>
    </row>
    <row r="22" spans="1:12" s="327" customFormat="1" ht="51.75" customHeight="1" x14ac:dyDescent="0.5">
      <c r="A22" s="275"/>
      <c r="B22" s="282"/>
      <c r="C22" s="281"/>
      <c r="D22" s="282"/>
      <c r="E22" s="276"/>
      <c r="F22" s="276"/>
      <c r="G22" s="276"/>
      <c r="H22" s="7"/>
      <c r="I22" s="284"/>
      <c r="J22" s="284"/>
      <c r="K22" s="284"/>
      <c r="L22" s="276"/>
    </row>
    <row r="23" spans="1:12" s="327" customFormat="1" ht="53.25" customHeight="1" x14ac:dyDescent="0.5">
      <c r="A23" s="275"/>
      <c r="B23" s="282"/>
      <c r="C23" s="281"/>
      <c r="D23" s="282"/>
      <c r="E23" s="276"/>
      <c r="F23" s="276"/>
      <c r="G23" s="276"/>
      <c r="H23" s="7"/>
      <c r="I23" s="284"/>
      <c r="J23" s="284"/>
      <c r="K23" s="284"/>
      <c r="L23" s="276"/>
    </row>
    <row r="24" spans="1:12" s="327" customFormat="1" ht="55.5" customHeight="1" x14ac:dyDescent="0.5">
      <c r="A24" s="285"/>
      <c r="B24" s="286"/>
      <c r="C24" s="287"/>
      <c r="D24" s="282"/>
      <c r="E24" s="288"/>
      <c r="F24" s="288"/>
      <c r="G24" s="288"/>
      <c r="H24" s="289"/>
      <c r="I24" s="290"/>
      <c r="J24" s="290"/>
      <c r="K24" s="290"/>
      <c r="L24" s="288"/>
    </row>
    <row r="25" spans="1:12" s="327" customFormat="1" ht="51.75" customHeight="1" x14ac:dyDescent="0.5">
      <c r="A25" s="285"/>
      <c r="B25" s="286"/>
      <c r="C25" s="287"/>
      <c r="D25" s="282"/>
      <c r="E25" s="288"/>
      <c r="F25" s="288"/>
      <c r="G25" s="288"/>
      <c r="H25" s="289"/>
      <c r="I25" s="290"/>
      <c r="J25" s="290"/>
      <c r="K25" s="290"/>
      <c r="L25" s="288"/>
    </row>
    <row r="26" spans="1:12" s="327" customFormat="1" ht="33" customHeight="1" x14ac:dyDescent="0.5">
      <c r="A26" s="285"/>
      <c r="B26" s="287"/>
      <c r="C26" s="287"/>
      <c r="D26" s="282"/>
      <c r="E26" s="288"/>
      <c r="F26" s="288"/>
      <c r="G26" s="288"/>
      <c r="H26" s="289"/>
      <c r="I26" s="290"/>
      <c r="J26" s="290"/>
      <c r="K26" s="290"/>
      <c r="L26" s="288"/>
    </row>
    <row r="27" spans="1:12" s="327" customFormat="1" ht="70.5" customHeight="1" x14ac:dyDescent="0.5">
      <c r="A27" s="285"/>
      <c r="B27" s="287"/>
      <c r="C27" s="287"/>
      <c r="D27" s="282"/>
      <c r="E27" s="288"/>
      <c r="F27" s="288"/>
      <c r="G27" s="288"/>
      <c r="H27" s="289"/>
      <c r="I27" s="290"/>
      <c r="J27" s="290"/>
      <c r="K27" s="290"/>
      <c r="L27" s="288"/>
    </row>
    <row r="28" spans="1:12" s="327" customFormat="1" ht="20" x14ac:dyDescent="0.4">
      <c r="A28" s="285"/>
      <c r="B28" s="331"/>
      <c r="C28" s="319"/>
      <c r="D28" s="307"/>
      <c r="E28" s="332"/>
      <c r="F28" s="332"/>
      <c r="G28" s="332"/>
      <c r="H28" s="333"/>
      <c r="I28" s="265"/>
      <c r="J28" s="265"/>
      <c r="K28" s="265"/>
      <c r="L28" s="288"/>
    </row>
    <row r="29" spans="1:12" s="327" customFormat="1" ht="20" x14ac:dyDescent="0.4">
      <c r="A29" s="260"/>
      <c r="B29" s="334"/>
      <c r="C29" s="320"/>
      <c r="D29" s="307"/>
      <c r="E29" s="332"/>
      <c r="F29" s="332"/>
      <c r="G29" s="332"/>
      <c r="H29" s="333"/>
      <c r="I29" s="265"/>
      <c r="J29" s="265"/>
      <c r="K29" s="265"/>
      <c r="L29" s="288"/>
    </row>
    <row r="30" spans="1:12" s="327" customFormat="1" ht="20" x14ac:dyDescent="0.4">
      <c r="A30" s="260"/>
      <c r="B30" s="334"/>
      <c r="C30" s="320"/>
      <c r="D30" s="307"/>
      <c r="E30" s="332"/>
      <c r="F30" s="332"/>
      <c r="G30" s="332"/>
      <c r="H30" s="333"/>
      <c r="I30" s="265"/>
      <c r="J30" s="265"/>
      <c r="K30" s="265"/>
      <c r="L30" s="288"/>
    </row>
    <row r="31" spans="1:12" s="327" customFormat="1" ht="20" x14ac:dyDescent="0.4">
      <c r="A31" s="260"/>
      <c r="B31" s="334"/>
      <c r="C31" s="320"/>
      <c r="D31" s="307"/>
      <c r="E31" s="332"/>
      <c r="F31" s="332"/>
      <c r="G31" s="332"/>
      <c r="H31" s="333"/>
      <c r="I31" s="265"/>
      <c r="J31" s="265"/>
      <c r="K31" s="265"/>
      <c r="L31" s="288"/>
    </row>
    <row r="32" spans="1:12" s="327" customFormat="1" ht="20" x14ac:dyDescent="0.4">
      <c r="A32" s="260"/>
      <c r="B32" s="334"/>
      <c r="C32" s="320"/>
      <c r="D32" s="307"/>
      <c r="E32" s="332"/>
      <c r="F32" s="332"/>
      <c r="G32" s="332"/>
      <c r="H32" s="333"/>
      <c r="I32" s="265"/>
      <c r="J32" s="265"/>
      <c r="K32" s="265"/>
      <c r="L32" s="288"/>
    </row>
    <row r="33" spans="1:12" s="327" customFormat="1" ht="20" x14ac:dyDescent="0.4">
      <c r="A33" s="260"/>
      <c r="B33" s="334"/>
      <c r="C33" s="320"/>
      <c r="D33" s="307"/>
      <c r="E33" s="332"/>
      <c r="F33" s="332"/>
      <c r="G33" s="332"/>
      <c r="H33" s="266"/>
      <c r="I33" s="265"/>
      <c r="J33" s="265"/>
      <c r="K33" s="265"/>
      <c r="L33" s="288"/>
    </row>
    <row r="34" spans="1:12" s="327" customFormat="1" ht="20" x14ac:dyDescent="0.4">
      <c r="A34" s="260"/>
      <c r="B34" s="334"/>
      <c r="C34" s="320"/>
      <c r="D34" s="307"/>
      <c r="E34" s="332"/>
      <c r="F34" s="332"/>
      <c r="G34" s="332"/>
      <c r="H34" s="333"/>
      <c r="I34" s="265"/>
      <c r="J34" s="265"/>
      <c r="K34" s="265"/>
      <c r="L34" s="288"/>
    </row>
    <row r="35" spans="1:12" s="327" customFormat="1" ht="20" x14ac:dyDescent="0.4">
      <c r="A35" s="260"/>
      <c r="B35" s="334"/>
      <c r="C35" s="320"/>
      <c r="D35" s="307"/>
      <c r="E35" s="332"/>
      <c r="F35" s="332"/>
      <c r="G35" s="332"/>
      <c r="H35" s="266"/>
      <c r="I35" s="265"/>
      <c r="J35" s="265"/>
      <c r="K35" s="265"/>
      <c r="L35" s="288"/>
    </row>
    <row r="36" spans="1:12" s="327" customFormat="1" ht="20" x14ac:dyDescent="0.4">
      <c r="A36" s="260"/>
      <c r="B36" s="334"/>
      <c r="C36" s="320"/>
      <c r="D36" s="307"/>
      <c r="E36" s="332"/>
      <c r="F36" s="332"/>
      <c r="G36" s="332"/>
      <c r="H36" s="333"/>
      <c r="I36" s="265"/>
      <c r="J36" s="265"/>
      <c r="K36" s="265"/>
      <c r="L36" s="288"/>
    </row>
    <row r="37" spans="1:12" s="327" customFormat="1" ht="20" x14ac:dyDescent="0.4">
      <c r="A37" s="260"/>
      <c r="B37" s="334"/>
      <c r="C37" s="320"/>
      <c r="D37" s="307"/>
      <c r="E37" s="332"/>
      <c r="F37" s="332"/>
      <c r="G37" s="332"/>
      <c r="H37" s="333"/>
      <c r="I37" s="265"/>
      <c r="J37" s="265"/>
      <c r="K37" s="265"/>
      <c r="L37" s="288"/>
    </row>
    <row r="38" spans="1:12" s="327" customFormat="1" ht="20" x14ac:dyDescent="0.4">
      <c r="A38" s="260"/>
      <c r="B38" s="334"/>
      <c r="C38" s="320"/>
      <c r="D38" s="307"/>
      <c r="E38" s="332"/>
      <c r="F38" s="332"/>
      <c r="G38" s="332"/>
      <c r="H38" s="333"/>
      <c r="I38" s="265"/>
      <c r="J38" s="265"/>
      <c r="K38" s="265"/>
      <c r="L38" s="288"/>
    </row>
    <row r="39" spans="1:12" s="327" customFormat="1" ht="20" x14ac:dyDescent="0.4">
      <c r="A39" s="260"/>
      <c r="B39" s="334"/>
      <c r="C39" s="320"/>
      <c r="D39" s="307"/>
      <c r="E39" s="332"/>
      <c r="F39" s="332"/>
      <c r="G39" s="332"/>
      <c r="H39" s="333"/>
      <c r="I39" s="265"/>
      <c r="J39" s="265"/>
      <c r="K39" s="265"/>
      <c r="L39" s="288"/>
    </row>
    <row r="40" spans="1:12" s="327" customFormat="1" ht="20" x14ac:dyDescent="0.4">
      <c r="A40" s="260"/>
      <c r="B40" s="334"/>
      <c r="C40" s="320"/>
      <c r="D40" s="307"/>
      <c r="E40" s="332"/>
      <c r="F40" s="332"/>
      <c r="G40" s="332"/>
      <c r="H40" s="266"/>
      <c r="I40" s="265"/>
      <c r="J40" s="265"/>
      <c r="K40" s="265"/>
      <c r="L40" s="288"/>
    </row>
    <row r="41" spans="1:12" s="327" customFormat="1" ht="20" x14ac:dyDescent="0.4">
      <c r="A41" s="260"/>
      <c r="B41" s="334"/>
      <c r="C41" s="320"/>
      <c r="D41" s="307"/>
      <c r="E41" s="332"/>
      <c r="F41" s="332"/>
      <c r="G41" s="332"/>
      <c r="H41" s="333"/>
      <c r="I41" s="265"/>
      <c r="J41" s="265"/>
      <c r="K41" s="265"/>
      <c r="L41" s="288"/>
    </row>
    <row r="42" spans="1:12" s="327" customFormat="1" ht="20" x14ac:dyDescent="0.4">
      <c r="A42" s="260"/>
      <c r="B42" s="334"/>
      <c r="C42" s="320"/>
      <c r="D42" s="307"/>
      <c r="E42" s="332"/>
      <c r="F42" s="332"/>
      <c r="G42" s="332"/>
      <c r="H42" s="333"/>
      <c r="I42" s="265"/>
      <c r="J42" s="265"/>
      <c r="K42" s="265"/>
      <c r="L42" s="261">
        <f t="shared" ref="L42:L50" si="1">SUM(F42+H42)</f>
        <v>0</v>
      </c>
    </row>
    <row r="43" spans="1:12" s="327" customFormat="1" ht="20" x14ac:dyDescent="0.4">
      <c r="A43" s="260"/>
      <c r="B43" s="334"/>
      <c r="C43" s="320"/>
      <c r="D43" s="307"/>
      <c r="E43" s="332"/>
      <c r="F43" s="332"/>
      <c r="G43" s="332"/>
      <c r="H43" s="333"/>
      <c r="I43" s="265"/>
      <c r="J43" s="265"/>
      <c r="K43" s="265"/>
      <c r="L43" s="261">
        <f t="shared" si="1"/>
        <v>0</v>
      </c>
    </row>
    <row r="44" spans="1:12" s="327" customFormat="1" ht="20" x14ac:dyDescent="0.4">
      <c r="A44" s="260"/>
      <c r="B44" s="334"/>
      <c r="C44" s="320"/>
      <c r="D44" s="307"/>
      <c r="E44" s="332"/>
      <c r="F44" s="332"/>
      <c r="G44" s="332"/>
      <c r="H44" s="333"/>
      <c r="I44" s="265"/>
      <c r="J44" s="265"/>
      <c r="K44" s="265"/>
      <c r="L44" s="261">
        <f t="shared" si="1"/>
        <v>0</v>
      </c>
    </row>
    <row r="45" spans="1:12" s="327" customFormat="1" ht="20" x14ac:dyDescent="0.4">
      <c r="A45" s="260"/>
      <c r="B45" s="334"/>
      <c r="C45" s="320"/>
      <c r="D45" s="307"/>
      <c r="E45" s="332"/>
      <c r="F45" s="332"/>
      <c r="G45" s="332"/>
      <c r="H45" s="266"/>
      <c r="I45" s="266"/>
      <c r="J45" s="266"/>
      <c r="K45" s="266"/>
      <c r="L45" s="261">
        <f t="shared" si="1"/>
        <v>0</v>
      </c>
    </row>
    <row r="46" spans="1:12" s="327" customFormat="1" ht="20" x14ac:dyDescent="0.4">
      <c r="A46" s="260"/>
      <c r="B46" s="334"/>
      <c r="C46" s="320"/>
      <c r="D46" s="307"/>
      <c r="E46" s="332"/>
      <c r="F46" s="332"/>
      <c r="G46" s="332"/>
      <c r="H46" s="266"/>
      <c r="I46" s="266"/>
      <c r="J46" s="266"/>
      <c r="K46" s="266"/>
      <c r="L46" s="261">
        <f t="shared" si="1"/>
        <v>0</v>
      </c>
    </row>
    <row r="47" spans="1:12" s="327" customFormat="1" ht="20" x14ac:dyDescent="0.4">
      <c r="A47" s="260"/>
      <c r="B47" s="334"/>
      <c r="C47" s="320"/>
      <c r="D47" s="307"/>
      <c r="E47" s="332"/>
      <c r="F47" s="332"/>
      <c r="G47" s="332"/>
      <c r="H47" s="266"/>
      <c r="I47" s="266"/>
      <c r="J47" s="266"/>
      <c r="K47" s="266"/>
      <c r="L47" s="261">
        <f t="shared" si="1"/>
        <v>0</v>
      </c>
    </row>
    <row r="48" spans="1:12" s="327" customFormat="1" ht="20" x14ac:dyDescent="0.4">
      <c r="A48" s="260"/>
      <c r="B48" s="334"/>
      <c r="C48" s="320"/>
      <c r="D48" s="307"/>
      <c r="E48" s="332"/>
      <c r="F48" s="332"/>
      <c r="G48" s="332"/>
      <c r="H48" s="266"/>
      <c r="I48" s="266"/>
      <c r="J48" s="266"/>
      <c r="K48" s="266"/>
      <c r="L48" s="261">
        <f t="shared" si="1"/>
        <v>0</v>
      </c>
    </row>
    <row r="49" spans="1:12" ht="20" x14ac:dyDescent="0.4">
      <c r="A49" s="263"/>
      <c r="B49" s="335"/>
      <c r="C49" s="321"/>
      <c r="D49" s="308"/>
      <c r="E49" s="336"/>
      <c r="F49" s="336"/>
      <c r="G49" s="336"/>
      <c r="H49" s="264"/>
      <c r="I49" s="264"/>
      <c r="J49" s="264"/>
      <c r="K49" s="264"/>
      <c r="L49" s="261">
        <f t="shared" si="1"/>
        <v>0</v>
      </c>
    </row>
    <row r="50" spans="1:12" ht="20" x14ac:dyDescent="0.4">
      <c r="A50" s="260"/>
      <c r="B50" s="252"/>
      <c r="C50" s="322"/>
      <c r="D50" s="309"/>
      <c r="E50" s="337"/>
      <c r="F50" s="337"/>
      <c r="G50" s="337"/>
      <c r="H50" s="37"/>
      <c r="I50" s="37"/>
      <c r="J50" s="37"/>
      <c r="K50" s="37"/>
      <c r="L50" s="261">
        <f t="shared" si="1"/>
        <v>0</v>
      </c>
    </row>
    <row r="51" spans="1:12" ht="20" x14ac:dyDescent="0.4">
      <c r="A51" s="260"/>
      <c r="B51" s="252"/>
      <c r="C51" s="322"/>
      <c r="D51" s="309"/>
      <c r="E51" s="337"/>
      <c r="F51" s="337"/>
      <c r="G51" s="337"/>
      <c r="H51" s="37"/>
      <c r="I51" s="37"/>
      <c r="J51" s="37"/>
      <c r="K51" s="37"/>
      <c r="L51" s="196"/>
    </row>
    <row r="52" spans="1:12" ht="20" x14ac:dyDescent="0.4">
      <c r="A52" s="260"/>
      <c r="B52" s="252"/>
      <c r="C52" s="322"/>
      <c r="D52" s="309"/>
      <c r="E52" s="337"/>
      <c r="F52" s="337"/>
      <c r="G52" s="337"/>
      <c r="H52" s="37"/>
      <c r="I52" s="37"/>
      <c r="J52" s="37"/>
      <c r="K52" s="37"/>
      <c r="L52" s="196"/>
    </row>
    <row r="53" spans="1:12" ht="20" x14ac:dyDescent="0.4">
      <c r="A53" s="260"/>
      <c r="B53" s="252"/>
      <c r="C53" s="322"/>
      <c r="D53" s="309"/>
      <c r="E53" s="337"/>
      <c r="F53" s="337"/>
      <c r="G53" s="337"/>
      <c r="H53" s="37"/>
      <c r="I53" s="37"/>
      <c r="J53" s="37"/>
      <c r="K53" s="37"/>
      <c r="L53" s="196"/>
    </row>
    <row r="54" spans="1:12" ht="20" x14ac:dyDescent="0.4">
      <c r="A54" s="260"/>
      <c r="B54" s="252"/>
      <c r="C54" s="322"/>
      <c r="D54" s="309"/>
      <c r="E54" s="337"/>
      <c r="F54" s="337"/>
      <c r="G54" s="337"/>
      <c r="H54" s="37"/>
      <c r="I54" s="37"/>
      <c r="J54" s="37"/>
      <c r="K54" s="37"/>
      <c r="L54" s="196"/>
    </row>
    <row r="55" spans="1:12" ht="20" x14ac:dyDescent="0.4">
      <c r="A55" s="260"/>
      <c r="B55" s="252"/>
      <c r="C55" s="322"/>
      <c r="D55" s="309"/>
      <c r="E55" s="337"/>
      <c r="F55" s="337"/>
      <c r="G55" s="337"/>
      <c r="H55" s="37"/>
      <c r="I55" s="37"/>
      <c r="J55" s="37"/>
      <c r="K55" s="37"/>
      <c r="L55" s="196"/>
    </row>
    <row r="56" spans="1:12" ht="20" x14ac:dyDescent="0.4">
      <c r="A56" s="260"/>
      <c r="B56" s="252"/>
      <c r="C56" s="322"/>
      <c r="D56" s="309"/>
      <c r="E56" s="337"/>
      <c r="F56" s="337"/>
      <c r="G56" s="337"/>
      <c r="H56" s="37"/>
      <c r="I56" s="37"/>
      <c r="J56" s="37"/>
      <c r="K56" s="37"/>
      <c r="L56" s="196"/>
    </row>
    <row r="57" spans="1:12" ht="20" x14ac:dyDescent="0.4">
      <c r="A57" s="260"/>
      <c r="B57" s="252"/>
      <c r="C57" s="322"/>
      <c r="D57" s="309"/>
      <c r="E57" s="337"/>
      <c r="F57" s="337"/>
      <c r="G57" s="337"/>
      <c r="H57" s="37"/>
      <c r="I57" s="37"/>
      <c r="J57" s="37"/>
      <c r="K57" s="37"/>
      <c r="L57" s="196"/>
    </row>
    <row r="58" spans="1:12" ht="20" x14ac:dyDescent="0.4">
      <c r="A58" s="260"/>
      <c r="B58" s="252"/>
      <c r="C58" s="322"/>
      <c r="D58" s="309"/>
      <c r="E58" s="337"/>
      <c r="F58" s="337"/>
      <c r="G58" s="337"/>
      <c r="H58" s="37"/>
      <c r="I58" s="37"/>
      <c r="J58" s="37"/>
      <c r="K58" s="37"/>
      <c r="L58" s="196"/>
    </row>
    <row r="59" spans="1:12" ht="20" x14ac:dyDescent="0.4">
      <c r="A59" s="260"/>
      <c r="B59" s="252"/>
      <c r="C59" s="322"/>
      <c r="D59" s="309"/>
      <c r="E59" s="337"/>
      <c r="F59" s="337"/>
      <c r="G59" s="337"/>
      <c r="H59" s="37"/>
      <c r="I59" s="37"/>
      <c r="J59" s="37"/>
      <c r="K59" s="37"/>
      <c r="L59" s="196"/>
    </row>
    <row r="60" spans="1:12" ht="20" x14ac:dyDescent="0.4">
      <c r="A60" s="260"/>
      <c r="B60" s="252"/>
      <c r="C60" s="322"/>
      <c r="D60" s="309"/>
      <c r="E60" s="337"/>
      <c r="F60" s="337"/>
      <c r="G60" s="337"/>
      <c r="H60" s="37"/>
      <c r="I60" s="37"/>
      <c r="J60" s="37"/>
      <c r="K60" s="37"/>
      <c r="L60" s="196"/>
    </row>
    <row r="61" spans="1:12" ht="20" x14ac:dyDescent="0.4">
      <c r="A61" s="260"/>
      <c r="B61" s="252"/>
      <c r="C61" s="322"/>
      <c r="D61" s="309"/>
      <c r="E61" s="337"/>
      <c r="F61" s="337"/>
      <c r="G61" s="337"/>
      <c r="H61" s="37"/>
      <c r="I61" s="37"/>
      <c r="J61" s="37"/>
      <c r="K61" s="37"/>
      <c r="L61" s="196"/>
    </row>
    <row r="62" spans="1:12" ht="20" x14ac:dyDescent="0.4">
      <c r="A62" s="260"/>
      <c r="B62" s="252"/>
      <c r="C62" s="322"/>
      <c r="D62" s="309"/>
      <c r="E62" s="337"/>
      <c r="F62" s="337"/>
      <c r="G62" s="337"/>
      <c r="H62" s="37"/>
      <c r="I62" s="37"/>
      <c r="J62" s="37"/>
      <c r="K62" s="37"/>
      <c r="L62" s="196"/>
    </row>
    <row r="63" spans="1:12" ht="20" x14ac:dyDescent="0.4">
      <c r="A63" s="260"/>
      <c r="B63" s="252"/>
      <c r="C63" s="322"/>
      <c r="D63" s="309"/>
      <c r="E63" s="337"/>
      <c r="F63" s="337"/>
      <c r="G63" s="337"/>
      <c r="H63" s="37"/>
      <c r="I63" s="37"/>
      <c r="J63" s="37"/>
      <c r="K63" s="37"/>
      <c r="L63" s="196"/>
    </row>
    <row r="64" spans="1:12" ht="20" x14ac:dyDescent="0.4">
      <c r="A64" s="260"/>
      <c r="B64" s="252"/>
      <c r="C64" s="322"/>
      <c r="D64" s="309"/>
      <c r="E64" s="337"/>
      <c r="F64" s="337"/>
      <c r="G64" s="337"/>
      <c r="H64" s="37"/>
      <c r="I64" s="37"/>
      <c r="J64" s="37"/>
      <c r="K64" s="37"/>
      <c r="L64" s="196"/>
    </row>
    <row r="65" spans="1:12" ht="20" x14ac:dyDescent="0.4">
      <c r="A65" s="260"/>
      <c r="B65" s="252"/>
      <c r="C65" s="322"/>
      <c r="D65" s="309"/>
      <c r="E65" s="337"/>
      <c r="F65" s="337"/>
      <c r="G65" s="337"/>
      <c r="H65" s="37"/>
      <c r="I65" s="37"/>
      <c r="J65" s="37"/>
      <c r="K65" s="37"/>
      <c r="L65" s="196"/>
    </row>
    <row r="66" spans="1:12" ht="20" x14ac:dyDescent="0.4">
      <c r="A66" s="260"/>
      <c r="B66" s="252"/>
      <c r="C66" s="322"/>
      <c r="D66" s="309"/>
      <c r="E66" s="337"/>
      <c r="F66" s="337"/>
      <c r="G66" s="337"/>
      <c r="H66" s="37"/>
      <c r="I66" s="37"/>
      <c r="J66" s="37"/>
      <c r="K66" s="37"/>
      <c r="L66" s="196"/>
    </row>
    <row r="67" spans="1:12" ht="20" x14ac:dyDescent="0.4">
      <c r="A67" s="260"/>
      <c r="B67" s="252"/>
      <c r="C67" s="322"/>
      <c r="D67" s="309"/>
      <c r="E67" s="337"/>
      <c r="F67" s="337"/>
      <c r="G67" s="337"/>
      <c r="H67" s="37"/>
      <c r="I67" s="37"/>
      <c r="J67" s="37"/>
      <c r="K67" s="37"/>
      <c r="L67" s="196"/>
    </row>
    <row r="68" spans="1:12" ht="20" x14ac:dyDescent="0.4">
      <c r="A68" s="260"/>
      <c r="B68" s="252"/>
      <c r="C68" s="322"/>
      <c r="D68" s="309"/>
      <c r="E68" s="337"/>
      <c r="F68" s="337"/>
      <c r="G68" s="337"/>
      <c r="H68" s="37"/>
      <c r="I68" s="37"/>
      <c r="J68" s="37"/>
      <c r="K68" s="37"/>
      <c r="L68" s="196"/>
    </row>
    <row r="69" spans="1:12" ht="20" x14ac:dyDescent="0.4">
      <c r="A69" s="260"/>
      <c r="B69" s="252"/>
      <c r="C69" s="322"/>
      <c r="D69" s="309"/>
      <c r="E69" s="337"/>
      <c r="F69" s="337"/>
      <c r="G69" s="337"/>
      <c r="H69" s="37"/>
      <c r="I69" s="37"/>
      <c r="J69" s="37"/>
      <c r="K69" s="37"/>
      <c r="L69" s="196"/>
    </row>
    <row r="70" spans="1:12" ht="20" x14ac:dyDescent="0.4">
      <c r="A70" s="260"/>
      <c r="B70" s="252"/>
      <c r="C70" s="322"/>
      <c r="D70" s="309"/>
      <c r="E70" s="337"/>
      <c r="F70" s="337"/>
      <c r="G70" s="337"/>
      <c r="H70" s="37"/>
      <c r="I70" s="37"/>
      <c r="J70" s="37"/>
      <c r="K70" s="37"/>
      <c r="L70" s="196"/>
    </row>
    <row r="71" spans="1:12" ht="20" x14ac:dyDescent="0.4">
      <c r="A71" s="260"/>
      <c r="B71" s="252"/>
      <c r="C71" s="322"/>
      <c r="D71" s="309"/>
      <c r="E71" s="337"/>
      <c r="F71" s="337"/>
      <c r="G71" s="337"/>
      <c r="H71" s="37"/>
      <c r="I71" s="37"/>
      <c r="J71" s="37"/>
      <c r="K71" s="37"/>
      <c r="L71" s="196"/>
    </row>
    <row r="72" spans="1:12" ht="20" x14ac:dyDescent="0.4">
      <c r="A72" s="260"/>
      <c r="B72" s="252"/>
      <c r="C72" s="322"/>
      <c r="D72" s="309"/>
      <c r="E72" s="337"/>
      <c r="F72" s="337"/>
      <c r="G72" s="337"/>
      <c r="H72" s="37"/>
      <c r="I72" s="37"/>
      <c r="J72" s="37"/>
      <c r="K72" s="37"/>
      <c r="L72" s="196"/>
    </row>
    <row r="73" spans="1:12" ht="20" x14ac:dyDescent="0.4">
      <c r="A73" s="260"/>
      <c r="B73" s="252"/>
      <c r="C73" s="322"/>
      <c r="D73" s="309"/>
      <c r="E73" s="337"/>
      <c r="F73" s="337"/>
      <c r="G73" s="337"/>
      <c r="H73" s="37"/>
      <c r="I73" s="37"/>
      <c r="J73" s="37"/>
      <c r="K73" s="37"/>
      <c r="L73" s="196"/>
    </row>
  </sheetData>
  <autoFilter ref="A3:L4" xr:uid="{00000000-0009-0000-0000-000002000000}"/>
  <mergeCells count="8">
    <mergeCell ref="G15:G17"/>
    <mergeCell ref="F15:F17"/>
    <mergeCell ref="H15:H17"/>
    <mergeCell ref="A1:L1"/>
    <mergeCell ref="G2:K2"/>
    <mergeCell ref="G12:G14"/>
    <mergeCell ref="F12:F14"/>
    <mergeCell ref="H12:H14"/>
  </mergeCells>
  <dataValidations count="1">
    <dataValidation type="whole" allowBlank="1" showInputMessage="1" showErrorMessage="1" sqref="F28:F62 E6:E62 F22:F24 D28:D62 F19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4.5" x14ac:dyDescent="0.35"/>
  <cols>
    <col min="1" max="1" width="10.54296875" bestFit="1" customWidth="1"/>
    <col min="3" max="3" width="19.7265625" customWidth="1"/>
  </cols>
  <sheetData>
    <row r="1" spans="1:12" x14ac:dyDescent="0.35">
      <c r="A1" s="356" t="s">
        <v>50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2" x14ac:dyDescent="0.35">
      <c r="A2" s="25"/>
      <c r="B2" s="26"/>
      <c r="C2" s="26"/>
      <c r="D2" s="26"/>
      <c r="E2" s="27"/>
      <c r="F2" s="27"/>
      <c r="G2" s="357" t="s">
        <v>34</v>
      </c>
      <c r="H2" s="358"/>
      <c r="I2" s="358"/>
      <c r="J2" s="358"/>
      <c r="K2" s="359"/>
      <c r="L2" s="24"/>
    </row>
    <row r="3" spans="1:12" ht="21" x14ac:dyDescent="0.35">
      <c r="A3" s="139" t="s">
        <v>35</v>
      </c>
      <c r="B3" s="28" t="s">
        <v>36</v>
      </c>
      <c r="C3" s="28" t="s">
        <v>37</v>
      </c>
      <c r="D3" s="28" t="s">
        <v>38</v>
      </c>
      <c r="E3" s="28" t="s">
        <v>47</v>
      </c>
      <c r="F3" s="28" t="s">
        <v>48</v>
      </c>
      <c r="G3" s="28" t="s">
        <v>42</v>
      </c>
      <c r="H3" s="28" t="s">
        <v>49</v>
      </c>
      <c r="I3" s="28" t="s">
        <v>44</v>
      </c>
      <c r="J3" s="28" t="s">
        <v>45</v>
      </c>
      <c r="K3" s="28" t="s">
        <v>46</v>
      </c>
      <c r="L3" s="28" t="s">
        <v>22</v>
      </c>
    </row>
    <row r="4" spans="1:12" x14ac:dyDescent="0.3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5" x14ac:dyDescent="0.3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5" x14ac:dyDescent="0.3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4"/>
  <sheetViews>
    <sheetView topLeftCell="A13" zoomScale="89" zoomScaleNormal="89" workbookViewId="0">
      <selection activeCell="D14" sqref="D14"/>
    </sheetView>
  </sheetViews>
  <sheetFormatPr defaultRowHeight="14.5" x14ac:dyDescent="0.35"/>
  <cols>
    <col min="2" max="2" width="15.7265625" style="141" customWidth="1"/>
    <col min="3" max="3" width="21.26953125" customWidth="1"/>
    <col min="4" max="4" width="35.1796875" customWidth="1"/>
    <col min="5" max="5" width="19.453125" customWidth="1"/>
    <col min="6" max="6" width="15.7265625" customWidth="1"/>
    <col min="7" max="7" width="23.453125" bestFit="1" customWidth="1"/>
    <col min="10" max="10" width="9.7265625" style="141" bestFit="1" customWidth="1"/>
    <col min="11" max="11" width="20.26953125" customWidth="1"/>
    <col min="12" max="12" width="27.26953125" bestFit="1" customWidth="1"/>
    <col min="13" max="13" width="16.7265625" customWidth="1"/>
    <col min="14" max="14" width="14.81640625" customWidth="1"/>
    <col min="15" max="15" width="23.453125" bestFit="1" customWidth="1"/>
  </cols>
  <sheetData>
    <row r="1" spans="1:15" ht="21" x14ac:dyDescent="0.35">
      <c r="A1" s="360" t="s">
        <v>0</v>
      </c>
      <c r="B1" s="360"/>
      <c r="C1" s="360"/>
      <c r="D1" s="360"/>
      <c r="E1" s="360"/>
      <c r="F1" s="360"/>
      <c r="G1" s="360"/>
      <c r="I1" s="360" t="s">
        <v>0</v>
      </c>
      <c r="J1" s="360"/>
      <c r="K1" s="360"/>
      <c r="L1" s="360"/>
      <c r="M1" s="360"/>
      <c r="N1" s="360"/>
      <c r="O1" s="360"/>
    </row>
    <row r="2" spans="1:15" x14ac:dyDescent="0.35">
      <c r="A2" s="361"/>
      <c r="B2" s="361"/>
      <c r="C2" s="361"/>
      <c r="D2" s="361"/>
      <c r="E2" s="361"/>
      <c r="F2" s="361"/>
      <c r="G2" s="361"/>
      <c r="I2" s="361"/>
      <c r="J2" s="361"/>
      <c r="K2" s="361"/>
      <c r="L2" s="361"/>
      <c r="M2" s="361"/>
      <c r="N2" s="361"/>
      <c r="O2" s="361"/>
    </row>
    <row r="3" spans="1:15" ht="18.5" x14ac:dyDescent="0.45">
      <c r="A3" s="362" t="s">
        <v>82</v>
      </c>
      <c r="B3" s="362"/>
      <c r="C3" s="129" t="s">
        <v>162</v>
      </c>
      <c r="D3" s="129"/>
      <c r="E3" s="130"/>
      <c r="F3" s="131" t="s">
        <v>83</v>
      </c>
      <c r="G3" s="130" t="s">
        <v>120</v>
      </c>
      <c r="I3" s="362" t="s">
        <v>82</v>
      </c>
      <c r="J3" s="362"/>
      <c r="K3" s="129" t="s">
        <v>119</v>
      </c>
      <c r="L3" s="129"/>
      <c r="M3" s="130"/>
      <c r="N3" s="131" t="s">
        <v>83</v>
      </c>
      <c r="O3" s="130" t="s">
        <v>117</v>
      </c>
    </row>
    <row r="5" spans="1:15" x14ac:dyDescent="0.35">
      <c r="A5" s="106" t="s">
        <v>76</v>
      </c>
      <c r="B5" s="176" t="s">
        <v>35</v>
      </c>
      <c r="C5" s="106" t="s">
        <v>84</v>
      </c>
      <c r="D5" s="106" t="s">
        <v>85</v>
      </c>
      <c r="E5" s="106" t="s">
        <v>87</v>
      </c>
      <c r="F5" s="106" t="s">
        <v>86</v>
      </c>
      <c r="G5" s="132" t="s">
        <v>55</v>
      </c>
      <c r="I5" s="106" t="s">
        <v>76</v>
      </c>
      <c r="J5" s="176" t="s">
        <v>35</v>
      </c>
      <c r="K5" s="106" t="s">
        <v>84</v>
      </c>
      <c r="L5" s="106" t="s">
        <v>85</v>
      </c>
      <c r="M5" s="106" t="s">
        <v>87</v>
      </c>
      <c r="N5" s="106" t="s">
        <v>86</v>
      </c>
      <c r="O5" s="106" t="s">
        <v>55</v>
      </c>
    </row>
    <row r="6" spans="1:15" ht="18.5" x14ac:dyDescent="0.35">
      <c r="A6" s="133">
        <v>1</v>
      </c>
      <c r="B6" s="223">
        <v>46033</v>
      </c>
      <c r="C6" s="106" t="s">
        <v>134</v>
      </c>
      <c r="D6" s="143" t="s">
        <v>196</v>
      </c>
      <c r="E6" s="106" t="s">
        <v>135</v>
      </c>
      <c r="F6" s="106" t="s">
        <v>197</v>
      </c>
      <c r="G6" s="106">
        <v>150</v>
      </c>
      <c r="I6" s="133"/>
      <c r="J6" s="176"/>
      <c r="K6" s="106"/>
      <c r="L6" s="143"/>
      <c r="M6" s="106"/>
      <c r="N6" s="106"/>
      <c r="O6" s="106"/>
    </row>
    <row r="7" spans="1:15" ht="18.5" x14ac:dyDescent="0.35">
      <c r="A7" s="133">
        <f>SUM(A6+1)</f>
        <v>2</v>
      </c>
      <c r="B7" s="223">
        <v>46034</v>
      </c>
      <c r="C7" s="106" t="s">
        <v>134</v>
      </c>
      <c r="D7" s="143" t="s">
        <v>198</v>
      </c>
      <c r="E7" s="106" t="s">
        <v>135</v>
      </c>
      <c r="F7" s="106" t="s">
        <v>199</v>
      </c>
      <c r="G7" s="106">
        <v>270</v>
      </c>
      <c r="I7" s="133"/>
      <c r="J7" s="176"/>
      <c r="K7" s="106"/>
      <c r="L7" s="106"/>
      <c r="M7" s="106"/>
      <c r="N7" s="106"/>
      <c r="O7" s="106"/>
    </row>
    <row r="8" spans="1:15" ht="18.5" x14ac:dyDescent="0.35">
      <c r="A8" s="133">
        <f t="shared" ref="A8:A15" si="0">SUM(A7+1)</f>
        <v>3</v>
      </c>
      <c r="B8" s="223">
        <v>46035</v>
      </c>
      <c r="C8" s="106" t="s">
        <v>134</v>
      </c>
      <c r="D8" s="143" t="s">
        <v>201</v>
      </c>
      <c r="E8" s="106" t="s">
        <v>135</v>
      </c>
      <c r="F8" s="106" t="s">
        <v>199</v>
      </c>
      <c r="G8" s="106">
        <v>1050</v>
      </c>
      <c r="I8" s="133"/>
      <c r="J8" s="176"/>
      <c r="K8" s="106"/>
      <c r="L8" s="143"/>
      <c r="M8" s="106"/>
      <c r="N8" s="106"/>
      <c r="O8" s="106"/>
    </row>
    <row r="9" spans="1:15" ht="29" x14ac:dyDescent="0.35">
      <c r="A9" s="133">
        <f t="shared" si="0"/>
        <v>4</v>
      </c>
      <c r="B9" s="223">
        <v>46036</v>
      </c>
      <c r="C9" s="106" t="s">
        <v>134</v>
      </c>
      <c r="D9" s="143" t="s">
        <v>203</v>
      </c>
      <c r="E9" s="106" t="s">
        <v>135</v>
      </c>
      <c r="F9" s="106" t="s">
        <v>199</v>
      </c>
      <c r="G9" s="106">
        <v>30</v>
      </c>
      <c r="I9" s="133"/>
      <c r="J9" s="176"/>
      <c r="K9" s="106"/>
      <c r="L9" s="106"/>
      <c r="M9" s="106"/>
      <c r="N9" s="106"/>
      <c r="O9" s="106"/>
    </row>
    <row r="10" spans="1:15" ht="23.15" customHeight="1" x14ac:dyDescent="0.35">
      <c r="A10" s="133">
        <f t="shared" si="0"/>
        <v>5</v>
      </c>
      <c r="B10" s="223">
        <v>46036</v>
      </c>
      <c r="C10" s="106" t="s">
        <v>134</v>
      </c>
      <c r="D10" s="143" t="s">
        <v>196</v>
      </c>
      <c r="E10" s="106" t="s">
        <v>135</v>
      </c>
      <c r="F10" s="106" t="s">
        <v>199</v>
      </c>
      <c r="G10" s="106">
        <v>100</v>
      </c>
      <c r="I10" s="133"/>
      <c r="J10" s="176"/>
      <c r="K10" s="106"/>
      <c r="L10" s="106"/>
      <c r="M10" s="106"/>
      <c r="N10" s="106"/>
      <c r="O10" s="106"/>
    </row>
    <row r="11" spans="1:15" ht="36.75" customHeight="1" x14ac:dyDescent="0.35">
      <c r="A11" s="133">
        <f t="shared" si="0"/>
        <v>6</v>
      </c>
      <c r="B11" s="223">
        <v>46036</v>
      </c>
      <c r="C11" s="106" t="s">
        <v>134</v>
      </c>
      <c r="D11" s="143" t="s">
        <v>206</v>
      </c>
      <c r="E11" s="106" t="s">
        <v>135</v>
      </c>
      <c r="F11" s="106" t="s">
        <v>199</v>
      </c>
      <c r="G11" s="106">
        <v>250</v>
      </c>
      <c r="I11" s="133"/>
      <c r="J11" s="176"/>
      <c r="K11" s="106"/>
      <c r="L11" s="106"/>
      <c r="M11" s="106"/>
      <c r="N11" s="106"/>
      <c r="O11" s="106"/>
    </row>
    <row r="12" spans="1:15" ht="42" customHeight="1" x14ac:dyDescent="0.35">
      <c r="A12" s="133">
        <f t="shared" si="0"/>
        <v>7</v>
      </c>
      <c r="B12" s="223">
        <v>46039</v>
      </c>
      <c r="C12" s="106" t="s">
        <v>134</v>
      </c>
      <c r="D12" s="143" t="s">
        <v>207</v>
      </c>
      <c r="E12" s="106" t="s">
        <v>135</v>
      </c>
      <c r="F12" s="106" t="s">
        <v>137</v>
      </c>
      <c r="G12" s="106">
        <v>60</v>
      </c>
      <c r="I12" s="133"/>
      <c r="J12" s="176"/>
      <c r="K12" s="106"/>
      <c r="L12" s="106"/>
      <c r="M12" s="106"/>
      <c r="N12" s="106"/>
      <c r="O12" s="106"/>
    </row>
    <row r="13" spans="1:15" ht="60.5" customHeight="1" x14ac:dyDescent="0.35">
      <c r="A13" s="133">
        <f t="shared" si="0"/>
        <v>8</v>
      </c>
      <c r="B13" s="223">
        <v>46040</v>
      </c>
      <c r="C13" s="106" t="s">
        <v>134</v>
      </c>
      <c r="D13" s="143" t="s">
        <v>209</v>
      </c>
      <c r="E13" s="106" t="s">
        <v>135</v>
      </c>
      <c r="F13" s="106" t="s">
        <v>199</v>
      </c>
      <c r="G13" s="106">
        <v>1150</v>
      </c>
      <c r="I13" s="133"/>
      <c r="J13" s="176"/>
      <c r="K13" s="106"/>
      <c r="L13" s="106"/>
      <c r="M13" s="106"/>
      <c r="N13" s="106"/>
      <c r="O13" s="106"/>
    </row>
    <row r="14" spans="1:15" ht="43.5" x14ac:dyDescent="0.35">
      <c r="A14" s="133">
        <f t="shared" si="0"/>
        <v>9</v>
      </c>
      <c r="B14" s="223">
        <v>46041</v>
      </c>
      <c r="C14" s="106" t="s">
        <v>134</v>
      </c>
      <c r="D14" s="143" t="s">
        <v>212</v>
      </c>
      <c r="E14" s="106" t="s">
        <v>135</v>
      </c>
      <c r="F14" s="106" t="s">
        <v>199</v>
      </c>
      <c r="G14" s="106">
        <v>350</v>
      </c>
      <c r="I14" s="133"/>
      <c r="J14" s="176"/>
      <c r="K14" s="106"/>
      <c r="L14" s="106"/>
      <c r="M14" s="106"/>
      <c r="N14" s="106"/>
      <c r="O14" s="106"/>
    </row>
    <row r="15" spans="1:15" ht="28.5" customHeight="1" x14ac:dyDescent="0.35">
      <c r="A15" s="133">
        <f t="shared" si="0"/>
        <v>10</v>
      </c>
      <c r="B15" s="223">
        <v>46041</v>
      </c>
      <c r="C15" s="106" t="s">
        <v>134</v>
      </c>
      <c r="D15" s="143" t="s">
        <v>196</v>
      </c>
      <c r="E15" s="106" t="s">
        <v>135</v>
      </c>
      <c r="F15" s="106" t="s">
        <v>199</v>
      </c>
      <c r="G15" s="106">
        <v>100</v>
      </c>
      <c r="I15" s="247"/>
      <c r="J15" s="176"/>
      <c r="K15" s="106"/>
      <c r="L15" s="106"/>
      <c r="M15" s="106"/>
      <c r="N15" s="106"/>
      <c r="O15" s="106"/>
    </row>
    <row r="16" spans="1:15" ht="30.75" customHeight="1" x14ac:dyDescent="0.35">
      <c r="A16" s="133">
        <v>11</v>
      </c>
      <c r="B16" s="223">
        <v>46041</v>
      </c>
      <c r="C16" s="106" t="s">
        <v>134</v>
      </c>
      <c r="D16" s="143" t="s">
        <v>215</v>
      </c>
      <c r="E16" s="106" t="s">
        <v>135</v>
      </c>
      <c r="F16" s="106" t="s">
        <v>199</v>
      </c>
      <c r="G16" s="106">
        <v>1000</v>
      </c>
      <c r="I16" s="247"/>
      <c r="J16" s="176"/>
      <c r="K16" s="106"/>
      <c r="L16" s="106"/>
      <c r="M16" s="106"/>
      <c r="N16" s="106"/>
      <c r="O16" s="106"/>
    </row>
    <row r="17" spans="1:15" x14ac:dyDescent="0.35">
      <c r="C17" s="363"/>
      <c r="D17" s="363"/>
      <c r="E17" s="363"/>
      <c r="G17" s="224"/>
      <c r="I17" s="122"/>
      <c r="J17" s="184"/>
      <c r="K17" s="122"/>
      <c r="L17" s="122"/>
      <c r="M17" s="122"/>
      <c r="N17" s="106"/>
      <c r="O17" s="132"/>
    </row>
    <row r="18" spans="1:15" x14ac:dyDescent="0.35">
      <c r="C18" s="363"/>
      <c r="D18" s="363"/>
      <c r="E18" s="363"/>
      <c r="F18" s="106" t="s">
        <v>22</v>
      </c>
      <c r="G18" s="106">
        <f>SUM(G6:G16)</f>
        <v>4510</v>
      </c>
    </row>
    <row r="19" spans="1:15" x14ac:dyDescent="0.35">
      <c r="B19" s="184"/>
      <c r="C19" s="363"/>
      <c r="D19" s="363"/>
      <c r="E19" s="363"/>
      <c r="F19" s="364"/>
      <c r="G19" s="364"/>
      <c r="I19" s="112"/>
      <c r="J19" s="177"/>
      <c r="K19" s="112"/>
      <c r="L19" s="112"/>
      <c r="M19" s="112"/>
      <c r="N19" s="112"/>
      <c r="O19" s="112"/>
    </row>
    <row r="20" spans="1:15" x14ac:dyDescent="0.35">
      <c r="F20" s="361"/>
      <c r="G20" s="361"/>
      <c r="I20" s="135" t="s">
        <v>77</v>
      </c>
      <c r="J20" s="178"/>
      <c r="K20" s="47"/>
      <c r="L20" s="47" t="s">
        <v>78</v>
      </c>
      <c r="M20" s="47"/>
      <c r="N20" s="47" t="s">
        <v>79</v>
      </c>
      <c r="O20" s="47"/>
    </row>
    <row r="21" spans="1:15" x14ac:dyDescent="0.35">
      <c r="A21" s="135"/>
      <c r="B21" s="177"/>
      <c r="C21" s="112"/>
      <c r="D21" s="112"/>
      <c r="E21" s="112"/>
      <c r="F21" s="361"/>
      <c r="G21" s="361"/>
      <c r="I21" s="136" t="s">
        <v>29</v>
      </c>
      <c r="J21" s="177"/>
      <c r="K21" s="112"/>
      <c r="L21" s="112" t="s">
        <v>80</v>
      </c>
      <c r="N21" s="112" t="s">
        <v>81</v>
      </c>
    </row>
    <row r="22" spans="1:15" x14ac:dyDescent="0.35">
      <c r="A22" s="135" t="s">
        <v>77</v>
      </c>
      <c r="B22" s="177"/>
      <c r="C22" s="47"/>
      <c r="D22" s="47" t="s">
        <v>78</v>
      </c>
      <c r="E22" s="47"/>
      <c r="F22" s="47" t="s">
        <v>79</v>
      </c>
      <c r="G22" s="47"/>
    </row>
    <row r="23" spans="1:15" x14ac:dyDescent="0.35">
      <c r="A23" s="136" t="s">
        <v>29</v>
      </c>
      <c r="C23" s="219"/>
      <c r="D23" s="112" t="s">
        <v>80</v>
      </c>
      <c r="F23" s="112" t="s">
        <v>81</v>
      </c>
    </row>
    <row r="24" spans="1:15" x14ac:dyDescent="0.35">
      <c r="B24" s="219"/>
      <c r="C24" s="219"/>
    </row>
  </sheetData>
  <mergeCells count="8">
    <mergeCell ref="I1:O1"/>
    <mergeCell ref="I2:O2"/>
    <mergeCell ref="I3:J3"/>
    <mergeCell ref="C17:E19"/>
    <mergeCell ref="F19:G21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5"/>
  <sheetViews>
    <sheetView topLeftCell="A72" workbookViewId="0">
      <selection activeCell="C84" sqref="C84"/>
    </sheetView>
  </sheetViews>
  <sheetFormatPr defaultRowHeight="14.5" x14ac:dyDescent="0.35"/>
  <cols>
    <col min="1" max="1" width="9.453125" style="436" bestFit="1" customWidth="1"/>
    <col min="2" max="2" width="11.26953125" style="141" customWidth="1"/>
    <col min="3" max="3" width="29.453125" customWidth="1"/>
    <col min="4" max="4" width="18.453125" customWidth="1"/>
    <col min="5" max="5" width="15.26953125" bestFit="1" customWidth="1"/>
    <col min="6" max="6" width="13.7265625" customWidth="1"/>
    <col min="7" max="7" width="15.453125" customWidth="1"/>
    <col min="9" max="9" width="8.26953125" customWidth="1"/>
    <col min="10" max="10" width="11.26953125" style="141" customWidth="1"/>
    <col min="11" max="11" width="25.81640625" customWidth="1"/>
    <col min="12" max="12" width="19.1796875" customWidth="1"/>
    <col min="13" max="13" width="13.81640625" customWidth="1"/>
    <col min="14" max="14" width="15" customWidth="1"/>
  </cols>
  <sheetData>
    <row r="1" spans="1:15" x14ac:dyDescent="0.35">
      <c r="A1" s="368" t="s">
        <v>0</v>
      </c>
      <c r="B1" s="369"/>
      <c r="C1" s="369"/>
      <c r="D1" s="369"/>
      <c r="E1" s="369"/>
      <c r="F1" s="369"/>
      <c r="G1" s="370"/>
      <c r="I1" s="368" t="s">
        <v>0</v>
      </c>
      <c r="J1" s="369"/>
      <c r="K1" s="369"/>
      <c r="L1" s="369"/>
      <c r="M1" s="369"/>
      <c r="N1" s="369"/>
      <c r="O1" s="370"/>
    </row>
    <row r="2" spans="1:15" x14ac:dyDescent="0.35">
      <c r="A2" s="371"/>
      <c r="B2" s="361"/>
      <c r="C2" s="361"/>
      <c r="D2" s="361"/>
      <c r="E2" s="361"/>
      <c r="F2" s="361"/>
      <c r="G2" s="372"/>
      <c r="I2" s="371"/>
      <c r="J2" s="361"/>
      <c r="K2" s="361"/>
      <c r="L2" s="361"/>
      <c r="M2" s="361"/>
      <c r="N2" s="361"/>
      <c r="O2" s="372"/>
    </row>
    <row r="3" spans="1:15" x14ac:dyDescent="0.35">
      <c r="A3" s="373" t="s">
        <v>82</v>
      </c>
      <c r="B3" s="374"/>
      <c r="C3" s="121" t="s">
        <v>163</v>
      </c>
      <c r="D3" s="121"/>
      <c r="E3" s="122"/>
      <c r="F3" s="123" t="s">
        <v>83</v>
      </c>
      <c r="G3" s="124" t="s">
        <v>117</v>
      </c>
      <c r="I3" s="373" t="s">
        <v>82</v>
      </c>
      <c r="J3" s="374"/>
      <c r="K3" s="121" t="s">
        <v>124</v>
      </c>
      <c r="L3" s="121"/>
      <c r="M3" s="122"/>
      <c r="N3" s="123" t="s">
        <v>83</v>
      </c>
      <c r="O3" s="124" t="s">
        <v>121</v>
      </c>
    </row>
    <row r="4" spans="1:15" x14ac:dyDescent="0.35">
      <c r="A4" s="431"/>
      <c r="G4" s="104"/>
      <c r="I4" s="103"/>
      <c r="O4" s="104"/>
    </row>
    <row r="5" spans="1:15" x14ac:dyDescent="0.35">
      <c r="A5" s="432" t="s">
        <v>76</v>
      </c>
      <c r="B5" s="176" t="s">
        <v>35</v>
      </c>
      <c r="C5" s="106" t="s">
        <v>84</v>
      </c>
      <c r="D5" s="106" t="s">
        <v>85</v>
      </c>
      <c r="E5" s="106" t="s">
        <v>5</v>
      </c>
      <c r="F5" s="106" t="s">
        <v>86</v>
      </c>
      <c r="G5" s="107" t="s">
        <v>55</v>
      </c>
      <c r="I5" s="105" t="s">
        <v>76</v>
      </c>
      <c r="J5" s="176" t="s">
        <v>35</v>
      </c>
      <c r="K5" s="106" t="s">
        <v>84</v>
      </c>
      <c r="L5" s="106" t="s">
        <v>85</v>
      </c>
      <c r="M5" s="106" t="s">
        <v>5</v>
      </c>
      <c r="N5" s="106" t="s">
        <v>86</v>
      </c>
      <c r="O5" s="107" t="s">
        <v>55</v>
      </c>
    </row>
    <row r="6" spans="1:15" ht="43.5" x14ac:dyDescent="0.35">
      <c r="A6" s="433">
        <v>1</v>
      </c>
      <c r="B6" s="176">
        <v>46040</v>
      </c>
      <c r="C6" s="143" t="s">
        <v>216</v>
      </c>
      <c r="D6" s="109" t="s">
        <v>134</v>
      </c>
      <c r="E6" s="165" t="s">
        <v>135</v>
      </c>
      <c r="F6" s="106" t="s">
        <v>136</v>
      </c>
      <c r="G6" s="110">
        <v>550</v>
      </c>
      <c r="I6" s="105">
        <v>1</v>
      </c>
      <c r="J6" s="223">
        <v>44964</v>
      </c>
      <c r="K6" s="143" t="s">
        <v>157</v>
      </c>
      <c r="L6" s="109" t="s">
        <v>134</v>
      </c>
      <c r="M6" s="194" t="s">
        <v>135</v>
      </c>
      <c r="N6" s="106" t="s">
        <v>144</v>
      </c>
      <c r="O6" s="110">
        <v>60</v>
      </c>
    </row>
    <row r="7" spans="1:15" ht="43.5" x14ac:dyDescent="0.35">
      <c r="A7" s="433">
        <v>2</v>
      </c>
      <c r="B7" s="176">
        <v>46041</v>
      </c>
      <c r="C7" s="143" t="s">
        <v>217</v>
      </c>
      <c r="D7" s="109" t="s">
        <v>134</v>
      </c>
      <c r="E7" s="165" t="s">
        <v>135</v>
      </c>
      <c r="F7" s="106" t="s">
        <v>136</v>
      </c>
      <c r="G7" s="110">
        <v>250</v>
      </c>
      <c r="I7" s="108"/>
      <c r="J7" s="145"/>
      <c r="K7" s="109"/>
      <c r="L7" s="109"/>
      <c r="M7" s="109"/>
      <c r="N7" s="109" t="s">
        <v>22</v>
      </c>
      <c r="O7" s="110">
        <f>SUM(O6:O6)</f>
        <v>60</v>
      </c>
    </row>
    <row r="8" spans="1:15" x14ac:dyDescent="0.35">
      <c r="A8" s="433"/>
      <c r="B8" s="145"/>
      <c r="C8" s="143"/>
      <c r="D8" s="109"/>
      <c r="E8" s="165"/>
      <c r="F8" s="106"/>
      <c r="G8" s="110"/>
      <c r="I8" s="111"/>
      <c r="J8" s="177"/>
      <c r="K8" s="112"/>
      <c r="L8" s="112"/>
      <c r="M8" s="112"/>
      <c r="N8" s="112"/>
      <c r="O8" s="113"/>
    </row>
    <row r="9" spans="1:15" x14ac:dyDescent="0.35">
      <c r="A9" s="433"/>
      <c r="F9" s="109"/>
      <c r="G9" s="110"/>
      <c r="I9" s="114" t="s">
        <v>77</v>
      </c>
      <c r="J9" s="178"/>
      <c r="K9" s="47"/>
      <c r="L9" s="47" t="s">
        <v>78</v>
      </c>
      <c r="M9" s="47"/>
      <c r="N9" s="47" t="s">
        <v>79</v>
      </c>
      <c r="O9" s="115"/>
    </row>
    <row r="10" spans="1:15" ht="15" thickBot="1" x14ac:dyDescent="0.4">
      <c r="A10" s="431"/>
      <c r="F10" s="109" t="s">
        <v>22</v>
      </c>
      <c r="G10" s="110">
        <f>SUM(G6:G7)</f>
        <v>800</v>
      </c>
      <c r="I10" s="125" t="s">
        <v>29</v>
      </c>
      <c r="J10" s="189"/>
      <c r="K10" s="126"/>
      <c r="L10" s="126" t="s">
        <v>80</v>
      </c>
      <c r="M10" s="127"/>
      <c r="N10" s="126" t="s">
        <v>81</v>
      </c>
      <c r="O10" s="128"/>
    </row>
    <row r="11" spans="1:15" ht="15" thickBot="1" x14ac:dyDescent="0.4">
      <c r="A11" s="434"/>
      <c r="B11" s="177"/>
      <c r="C11" s="112"/>
      <c r="D11" s="112"/>
      <c r="E11" s="112"/>
      <c r="F11" s="112"/>
      <c r="G11" s="113"/>
    </row>
    <row r="12" spans="1:15" x14ac:dyDescent="0.35">
      <c r="A12" s="431" t="s">
        <v>77</v>
      </c>
      <c r="B12" s="178"/>
      <c r="C12" s="47"/>
      <c r="D12" s="47" t="s">
        <v>78</v>
      </c>
      <c r="E12" s="47"/>
      <c r="F12" s="47" t="s">
        <v>79</v>
      </c>
      <c r="G12" s="115"/>
      <c r="I12" s="368" t="s">
        <v>0</v>
      </c>
      <c r="J12" s="369"/>
      <c r="K12" s="369"/>
      <c r="L12" s="369"/>
      <c r="M12" s="369"/>
      <c r="N12" s="369"/>
      <c r="O12" s="370"/>
    </row>
    <row r="13" spans="1:15" ht="15" thickBot="1" x14ac:dyDescent="0.4">
      <c r="A13" s="435" t="s">
        <v>29</v>
      </c>
      <c r="B13" s="189"/>
      <c r="C13" s="126"/>
      <c r="D13" s="126" t="s">
        <v>80</v>
      </c>
      <c r="E13" s="127"/>
      <c r="F13" s="126" t="s">
        <v>81</v>
      </c>
      <c r="G13" s="128"/>
      <c r="I13" s="371"/>
      <c r="J13" s="361"/>
      <c r="K13" s="361"/>
      <c r="L13" s="361"/>
      <c r="M13" s="361"/>
      <c r="N13" s="361"/>
      <c r="O13" s="372"/>
    </row>
    <row r="14" spans="1:15" ht="15" thickBot="1" x14ac:dyDescent="0.4">
      <c r="I14" s="373" t="s">
        <v>82</v>
      </c>
      <c r="J14" s="374"/>
      <c r="K14" s="121" t="s">
        <v>125</v>
      </c>
      <c r="L14" s="121"/>
      <c r="M14" s="122"/>
      <c r="N14" s="123" t="s">
        <v>83</v>
      </c>
      <c r="O14" s="124" t="s">
        <v>117</v>
      </c>
    </row>
    <row r="15" spans="1:15" x14ac:dyDescent="0.35">
      <c r="A15" s="368" t="s">
        <v>0</v>
      </c>
      <c r="B15" s="369"/>
      <c r="C15" s="369"/>
      <c r="D15" s="369"/>
      <c r="E15" s="369"/>
      <c r="F15" s="369"/>
      <c r="G15" s="370"/>
      <c r="I15" s="103"/>
      <c r="O15" s="104"/>
    </row>
    <row r="16" spans="1:15" x14ac:dyDescent="0.35">
      <c r="A16" s="371"/>
      <c r="B16" s="361"/>
      <c r="C16" s="361"/>
      <c r="D16" s="361"/>
      <c r="E16" s="361"/>
      <c r="F16" s="361"/>
      <c r="G16" s="372"/>
      <c r="I16" s="105" t="s">
        <v>76</v>
      </c>
      <c r="J16" s="176" t="s">
        <v>35</v>
      </c>
      <c r="K16" s="106" t="s">
        <v>84</v>
      </c>
      <c r="L16" s="106" t="s">
        <v>85</v>
      </c>
      <c r="M16" s="106" t="s">
        <v>5</v>
      </c>
      <c r="N16" s="106" t="s">
        <v>86</v>
      </c>
      <c r="O16" s="107" t="s">
        <v>55</v>
      </c>
    </row>
    <row r="17" spans="1:15" x14ac:dyDescent="0.35">
      <c r="A17" s="373" t="s">
        <v>82</v>
      </c>
      <c r="B17" s="374"/>
      <c r="C17" s="121" t="s">
        <v>161</v>
      </c>
      <c r="D17" s="121"/>
      <c r="E17" s="122"/>
      <c r="F17" s="123" t="s">
        <v>83</v>
      </c>
      <c r="G17" s="124" t="s">
        <v>143</v>
      </c>
      <c r="I17" s="108">
        <v>1</v>
      </c>
      <c r="J17" s="223">
        <v>45202</v>
      </c>
      <c r="K17" s="143" t="s">
        <v>139</v>
      </c>
      <c r="L17" s="109" t="s">
        <v>134</v>
      </c>
      <c r="M17" s="165" t="s">
        <v>135</v>
      </c>
      <c r="N17" s="106" t="s">
        <v>136</v>
      </c>
      <c r="O17" s="110"/>
    </row>
    <row r="18" spans="1:15" x14ac:dyDescent="0.35">
      <c r="A18" s="431"/>
      <c r="G18" s="104"/>
      <c r="I18" s="108">
        <v>2</v>
      </c>
      <c r="J18" s="223">
        <v>45203</v>
      </c>
      <c r="K18" s="106" t="s">
        <v>138</v>
      </c>
      <c r="L18" s="109" t="s">
        <v>134</v>
      </c>
      <c r="M18" s="165" t="s">
        <v>135</v>
      </c>
      <c r="N18" s="106" t="s">
        <v>137</v>
      </c>
      <c r="O18" s="110"/>
    </row>
    <row r="19" spans="1:15" x14ac:dyDescent="0.35">
      <c r="A19" s="432" t="s">
        <v>76</v>
      </c>
      <c r="B19" s="176" t="s">
        <v>35</v>
      </c>
      <c r="C19" s="106" t="s">
        <v>84</v>
      </c>
      <c r="D19" s="106" t="s">
        <v>85</v>
      </c>
      <c r="E19" s="106" t="s">
        <v>5</v>
      </c>
      <c r="F19" s="106" t="s">
        <v>86</v>
      </c>
      <c r="G19" s="107" t="s">
        <v>55</v>
      </c>
      <c r="I19" s="109"/>
      <c r="J19" s="214"/>
      <c r="K19" s="100"/>
      <c r="L19" s="100"/>
      <c r="M19" s="100"/>
      <c r="N19" s="100"/>
      <c r="O19" s="100"/>
    </row>
    <row r="20" spans="1:15" ht="29" x14ac:dyDescent="0.35">
      <c r="A20" s="438">
        <v>1</v>
      </c>
      <c r="B20" s="439">
        <v>46033</v>
      </c>
      <c r="C20" s="143" t="s">
        <v>196</v>
      </c>
      <c r="D20" s="109" t="s">
        <v>134</v>
      </c>
      <c r="E20" s="109" t="s">
        <v>135</v>
      </c>
      <c r="F20" s="106" t="s">
        <v>144</v>
      </c>
      <c r="G20" s="106">
        <v>100</v>
      </c>
      <c r="I20" s="365"/>
      <c r="J20" s="366"/>
      <c r="K20" s="366"/>
      <c r="L20" s="366"/>
      <c r="M20" s="367"/>
      <c r="N20" s="212" t="s">
        <v>22</v>
      </c>
      <c r="O20" s="213"/>
    </row>
    <row r="21" spans="1:15" x14ac:dyDescent="0.35">
      <c r="A21" s="440">
        <v>2</v>
      </c>
      <c r="B21" s="439">
        <v>46035</v>
      </c>
      <c r="C21" s="437" t="s">
        <v>219</v>
      </c>
      <c r="D21" s="109" t="s">
        <v>134</v>
      </c>
      <c r="E21" s="109" t="s">
        <v>135</v>
      </c>
      <c r="F21" s="106" t="s">
        <v>144</v>
      </c>
      <c r="G21" s="211">
        <v>30</v>
      </c>
      <c r="I21" s="103"/>
      <c r="O21" s="104"/>
    </row>
    <row r="22" spans="1:15" ht="29" x14ac:dyDescent="0.35">
      <c r="A22" s="440">
        <v>3</v>
      </c>
      <c r="B22" s="439">
        <v>46036</v>
      </c>
      <c r="C22" s="143" t="s">
        <v>196</v>
      </c>
      <c r="D22" s="106" t="s">
        <v>134</v>
      </c>
      <c r="E22" s="106" t="s">
        <v>135</v>
      </c>
      <c r="F22" s="106" t="s">
        <v>144</v>
      </c>
      <c r="G22" s="106">
        <v>100</v>
      </c>
      <c r="I22" s="111"/>
      <c r="J22" s="177"/>
      <c r="K22" s="112"/>
      <c r="L22" s="112"/>
      <c r="M22" s="112"/>
      <c r="N22" s="112"/>
      <c r="O22" s="113"/>
    </row>
    <row r="23" spans="1:15" ht="29" x14ac:dyDescent="0.35">
      <c r="A23" s="440">
        <v>4</v>
      </c>
      <c r="B23" s="439">
        <v>46039</v>
      </c>
      <c r="C23" s="143" t="s">
        <v>218</v>
      </c>
      <c r="D23" s="106" t="s">
        <v>134</v>
      </c>
      <c r="E23" s="106" t="s">
        <v>135</v>
      </c>
      <c r="F23" s="106" t="s">
        <v>144</v>
      </c>
      <c r="G23" s="106">
        <v>60</v>
      </c>
      <c r="I23" s="111"/>
      <c r="J23" s="177"/>
      <c r="K23" s="112"/>
      <c r="L23" s="112"/>
      <c r="M23" s="112"/>
      <c r="N23" s="112"/>
      <c r="O23" s="113"/>
    </row>
    <row r="24" spans="1:15" ht="29" x14ac:dyDescent="0.35">
      <c r="A24" s="440">
        <v>5</v>
      </c>
      <c r="B24" s="439">
        <v>46041</v>
      </c>
      <c r="C24" s="143" t="s">
        <v>196</v>
      </c>
      <c r="D24" s="106" t="s">
        <v>134</v>
      </c>
      <c r="E24" s="106" t="s">
        <v>135</v>
      </c>
      <c r="F24" s="106" t="s">
        <v>144</v>
      </c>
      <c r="G24" s="106">
        <v>100</v>
      </c>
      <c r="I24" s="111"/>
      <c r="J24" s="177"/>
      <c r="K24" s="112"/>
      <c r="L24" s="112"/>
      <c r="M24" s="112"/>
      <c r="N24" s="112"/>
      <c r="O24" s="113"/>
    </row>
    <row r="25" spans="1:15" ht="15" thickBot="1" x14ac:dyDescent="0.4">
      <c r="A25" s="441"/>
      <c r="B25" s="442"/>
      <c r="C25" s="442"/>
      <c r="D25" s="442"/>
      <c r="E25" s="442"/>
      <c r="F25" s="443"/>
      <c r="G25" s="213"/>
      <c r="I25" s="125" t="s">
        <v>29</v>
      </c>
      <c r="J25" s="189"/>
      <c r="K25" s="126"/>
      <c r="L25" s="126" t="s">
        <v>80</v>
      </c>
      <c r="M25" s="127"/>
      <c r="N25" s="126" t="s">
        <v>81</v>
      </c>
      <c r="O25" s="128"/>
    </row>
    <row r="26" spans="1:15" x14ac:dyDescent="0.35">
      <c r="A26" s="375"/>
      <c r="B26" s="376"/>
      <c r="C26" s="376"/>
      <c r="D26" s="376"/>
      <c r="E26" s="376"/>
      <c r="F26" s="109" t="s">
        <v>22</v>
      </c>
      <c r="G26" s="110">
        <f>SUM(G20:G24)</f>
        <v>390</v>
      </c>
    </row>
    <row r="27" spans="1:15" ht="15" thickBot="1" x14ac:dyDescent="0.4">
      <c r="A27" s="365"/>
      <c r="B27" s="366"/>
      <c r="C27" s="366"/>
      <c r="D27" s="366"/>
      <c r="E27" s="366"/>
      <c r="G27" s="104"/>
    </row>
    <row r="28" spans="1:15" x14ac:dyDescent="0.35">
      <c r="A28" s="434"/>
      <c r="B28" s="177"/>
      <c r="C28" s="112"/>
      <c r="D28" s="112"/>
      <c r="E28" s="112"/>
      <c r="F28" s="112"/>
      <c r="G28" s="113"/>
      <c r="I28" s="368" t="s">
        <v>0</v>
      </c>
      <c r="J28" s="369"/>
      <c r="K28" s="369"/>
      <c r="L28" s="369"/>
      <c r="M28" s="369"/>
      <c r="N28" s="369"/>
      <c r="O28" s="370"/>
    </row>
    <row r="29" spans="1:15" x14ac:dyDescent="0.35">
      <c r="A29" s="431" t="s">
        <v>77</v>
      </c>
      <c r="B29" s="178"/>
      <c r="C29" s="47"/>
      <c r="D29" s="47" t="s">
        <v>78</v>
      </c>
      <c r="E29" s="47"/>
      <c r="F29" s="47" t="s">
        <v>79</v>
      </c>
      <c r="G29" s="115"/>
      <c r="I29" s="371" t="s">
        <v>128</v>
      </c>
      <c r="J29" s="361"/>
      <c r="K29" s="361"/>
      <c r="L29" s="361"/>
      <c r="M29" s="361"/>
      <c r="N29" s="361"/>
      <c r="O29" s="372"/>
    </row>
    <row r="30" spans="1:15" ht="15" thickBot="1" x14ac:dyDescent="0.4">
      <c r="A30" s="435" t="s">
        <v>29</v>
      </c>
      <c r="B30" s="189"/>
      <c r="C30" s="126"/>
      <c r="D30" s="126" t="s">
        <v>80</v>
      </c>
      <c r="E30" s="127"/>
      <c r="F30" s="126" t="s">
        <v>81</v>
      </c>
      <c r="G30" s="128"/>
      <c r="I30" s="373" t="s">
        <v>82</v>
      </c>
      <c r="J30" s="374"/>
      <c r="K30" s="121" t="s">
        <v>124</v>
      </c>
      <c r="L30" s="121"/>
      <c r="M30" s="122"/>
      <c r="N30" s="123" t="s">
        <v>83</v>
      </c>
      <c r="O30" s="124" t="s">
        <v>121</v>
      </c>
    </row>
    <row r="31" spans="1:15" ht="15" thickBot="1" x14ac:dyDescent="0.4">
      <c r="I31" s="103"/>
      <c r="O31" s="104"/>
    </row>
    <row r="32" spans="1:15" x14ac:dyDescent="0.35">
      <c r="A32" s="368" t="s">
        <v>0</v>
      </c>
      <c r="B32" s="369"/>
      <c r="C32" s="369"/>
      <c r="D32" s="369"/>
      <c r="E32" s="369"/>
      <c r="F32" s="369"/>
      <c r="G32" s="370"/>
      <c r="H32" s="195" t="s">
        <v>127</v>
      </c>
      <c r="I32" s="105" t="s">
        <v>76</v>
      </c>
      <c r="J32" s="176" t="s">
        <v>35</v>
      </c>
      <c r="K32" s="106" t="s">
        <v>84</v>
      </c>
      <c r="L32" s="106" t="s">
        <v>85</v>
      </c>
      <c r="M32" s="106" t="s">
        <v>5</v>
      </c>
      <c r="N32" s="106" t="s">
        <v>86</v>
      </c>
      <c r="O32" s="107" t="s">
        <v>55</v>
      </c>
    </row>
    <row r="33" spans="1:15" x14ac:dyDescent="0.35">
      <c r="A33" s="371"/>
      <c r="B33" s="361"/>
      <c r="C33" s="361"/>
      <c r="D33" s="361"/>
      <c r="E33" s="361"/>
      <c r="F33" s="361"/>
      <c r="G33" s="372"/>
      <c r="I33" s="108">
        <v>1</v>
      </c>
      <c r="J33" s="145"/>
      <c r="K33" s="143"/>
      <c r="L33" s="109"/>
      <c r="M33" s="194"/>
      <c r="N33" s="106"/>
      <c r="O33" s="110"/>
    </row>
    <row r="34" spans="1:15" x14ac:dyDescent="0.35">
      <c r="A34" s="373" t="s">
        <v>82</v>
      </c>
      <c r="B34" s="374"/>
      <c r="C34" s="121" t="s">
        <v>126</v>
      </c>
      <c r="D34" s="121"/>
      <c r="E34" s="122"/>
      <c r="F34" s="123" t="s">
        <v>83</v>
      </c>
      <c r="G34" s="124" t="s">
        <v>117</v>
      </c>
      <c r="I34" s="108">
        <v>2</v>
      </c>
      <c r="J34" s="145"/>
      <c r="K34" s="106"/>
      <c r="L34" s="109"/>
      <c r="M34" s="194"/>
      <c r="N34" s="106"/>
      <c r="O34" s="110"/>
    </row>
    <row r="35" spans="1:15" x14ac:dyDescent="0.35">
      <c r="A35" s="431"/>
      <c r="G35" s="104"/>
      <c r="I35" s="108"/>
      <c r="J35" s="145"/>
      <c r="K35" s="143"/>
      <c r="L35" s="109"/>
      <c r="M35" s="194"/>
      <c r="N35" s="106"/>
      <c r="O35" s="110"/>
    </row>
    <row r="36" spans="1:15" x14ac:dyDescent="0.35">
      <c r="A36" s="432" t="s">
        <v>76</v>
      </c>
      <c r="B36" s="176" t="s">
        <v>35</v>
      </c>
      <c r="C36" s="106" t="s">
        <v>84</v>
      </c>
      <c r="D36" s="106" t="s">
        <v>85</v>
      </c>
      <c r="E36" s="106" t="s">
        <v>5</v>
      </c>
      <c r="F36" s="106" t="s">
        <v>86</v>
      </c>
      <c r="G36" s="107" t="s">
        <v>55</v>
      </c>
      <c r="I36" s="108"/>
      <c r="J36" s="216"/>
      <c r="K36" s="217"/>
      <c r="L36" s="217"/>
      <c r="M36" s="194"/>
      <c r="N36" s="215"/>
      <c r="O36" s="218"/>
    </row>
    <row r="37" spans="1:15" ht="20.5" customHeight="1" x14ac:dyDescent="0.35">
      <c r="A37" s="432">
        <v>1</v>
      </c>
      <c r="B37" s="430">
        <v>46034</v>
      </c>
      <c r="C37" s="143" t="s">
        <v>198</v>
      </c>
      <c r="D37" s="106" t="s">
        <v>134</v>
      </c>
      <c r="E37" s="215" t="s">
        <v>135</v>
      </c>
      <c r="F37" s="106" t="s">
        <v>144</v>
      </c>
      <c r="G37" s="107">
        <v>30</v>
      </c>
      <c r="I37" s="108"/>
      <c r="J37" s="214"/>
      <c r="K37" s="100"/>
      <c r="L37" s="100"/>
      <c r="M37" s="100"/>
      <c r="N37" s="100"/>
      <c r="O37" s="100"/>
    </row>
    <row r="38" spans="1:15" ht="20.5" customHeight="1" x14ac:dyDescent="0.35">
      <c r="A38" s="433">
        <v>2</v>
      </c>
      <c r="B38" s="430">
        <v>46035</v>
      </c>
      <c r="C38" s="143" t="s">
        <v>201</v>
      </c>
      <c r="D38" s="109" t="s">
        <v>134</v>
      </c>
      <c r="E38" s="165" t="s">
        <v>135</v>
      </c>
      <c r="F38" s="106" t="s">
        <v>136</v>
      </c>
      <c r="G38" s="110">
        <v>200</v>
      </c>
      <c r="I38" s="108"/>
      <c r="J38" s="145"/>
      <c r="K38" s="109"/>
      <c r="L38" s="109"/>
      <c r="M38" s="109"/>
      <c r="N38" s="109" t="s">
        <v>22</v>
      </c>
      <c r="O38" s="110">
        <f>SUM(O33:O36)</f>
        <v>0</v>
      </c>
    </row>
    <row r="39" spans="1:15" ht="20.5" customHeight="1" x14ac:dyDescent="0.35">
      <c r="A39" s="433">
        <v>3</v>
      </c>
      <c r="B39" s="430">
        <v>46036</v>
      </c>
      <c r="C39" s="143" t="s">
        <v>206</v>
      </c>
      <c r="D39" s="109" t="s">
        <v>134</v>
      </c>
      <c r="E39" s="165" t="s">
        <v>135</v>
      </c>
      <c r="F39" s="106" t="s">
        <v>136</v>
      </c>
      <c r="G39" s="110">
        <v>200</v>
      </c>
      <c r="I39" s="103"/>
      <c r="O39" s="104"/>
    </row>
    <row r="40" spans="1:15" ht="20.5" customHeight="1" x14ac:dyDescent="0.35">
      <c r="A40" s="433">
        <v>4</v>
      </c>
      <c r="B40" s="430">
        <v>46041</v>
      </c>
      <c r="C40" s="143" t="s">
        <v>220</v>
      </c>
      <c r="D40" s="109" t="s">
        <v>134</v>
      </c>
      <c r="E40" s="165" t="s">
        <v>135</v>
      </c>
      <c r="F40" s="106" t="s">
        <v>136</v>
      </c>
      <c r="G40" s="110">
        <v>200</v>
      </c>
      <c r="I40" s="103"/>
      <c r="O40" s="104"/>
    </row>
    <row r="41" spans="1:15" x14ac:dyDescent="0.35">
      <c r="A41" s="377"/>
      <c r="B41" s="378"/>
      <c r="C41" s="378"/>
      <c r="D41" s="378"/>
      <c r="E41" s="378"/>
      <c r="F41" s="379"/>
      <c r="G41" s="110"/>
      <c r="I41" s="111"/>
      <c r="J41" s="177"/>
      <c r="K41" s="112"/>
      <c r="L41" s="112"/>
      <c r="M41" s="112"/>
      <c r="N41" s="112"/>
      <c r="O41" s="113"/>
    </row>
    <row r="42" spans="1:15" x14ac:dyDescent="0.35">
      <c r="A42" s="377"/>
      <c r="B42" s="378"/>
      <c r="C42" s="378"/>
      <c r="D42" s="378"/>
      <c r="E42" s="379"/>
      <c r="F42" s="109" t="s">
        <v>22</v>
      </c>
      <c r="G42" s="110">
        <f>SUM(G37:G41)</f>
        <v>630</v>
      </c>
      <c r="I42" s="114" t="s">
        <v>77</v>
      </c>
      <c r="J42" s="178"/>
      <c r="K42" s="47"/>
      <c r="L42" s="47" t="s">
        <v>78</v>
      </c>
      <c r="M42" s="47"/>
      <c r="N42" s="47" t="s">
        <v>79</v>
      </c>
      <c r="O42" s="115"/>
    </row>
    <row r="43" spans="1:15" ht="15" thickBot="1" x14ac:dyDescent="0.4">
      <c r="A43" s="431"/>
      <c r="G43" s="104"/>
      <c r="I43" s="125" t="s">
        <v>29</v>
      </c>
      <c r="J43" s="189"/>
      <c r="K43" s="126"/>
      <c r="L43" s="126" t="s">
        <v>80</v>
      </c>
      <c r="M43" s="127"/>
      <c r="N43" s="126" t="s">
        <v>81</v>
      </c>
      <c r="O43" s="128"/>
    </row>
    <row r="44" spans="1:15" x14ac:dyDescent="0.35">
      <c r="A44" s="434"/>
      <c r="B44" s="177"/>
      <c r="D44" s="112"/>
      <c r="E44" s="112"/>
      <c r="F44" s="112"/>
      <c r="G44" s="113"/>
    </row>
    <row r="45" spans="1:15" x14ac:dyDescent="0.35">
      <c r="A45" s="431" t="s">
        <v>77</v>
      </c>
      <c r="B45" s="178"/>
      <c r="C45" s="47"/>
      <c r="D45" s="47" t="s">
        <v>78</v>
      </c>
      <c r="E45" s="47"/>
      <c r="F45" s="47" t="s">
        <v>79</v>
      </c>
      <c r="G45" s="115"/>
    </row>
    <row r="46" spans="1:15" ht="15" thickBot="1" x14ac:dyDescent="0.4">
      <c r="A46" s="435" t="s">
        <v>29</v>
      </c>
      <c r="B46" s="189"/>
      <c r="C46" s="126"/>
      <c r="D46" s="126" t="s">
        <v>80</v>
      </c>
      <c r="E46" s="127"/>
      <c r="F46" s="126" t="s">
        <v>81</v>
      </c>
      <c r="G46" s="128"/>
    </row>
    <row r="47" spans="1:15" ht="15" thickBot="1" x14ac:dyDescent="0.4"/>
    <row r="48" spans="1:15" x14ac:dyDescent="0.35">
      <c r="A48" s="368" t="s">
        <v>0</v>
      </c>
      <c r="B48" s="369"/>
      <c r="C48" s="369"/>
      <c r="D48" s="369"/>
      <c r="E48" s="369"/>
      <c r="F48" s="369"/>
      <c r="G48" s="370"/>
    </row>
    <row r="49" spans="1:7" x14ac:dyDescent="0.35">
      <c r="A49" s="371"/>
      <c r="B49" s="361"/>
      <c r="C49" s="361"/>
      <c r="D49" s="361"/>
      <c r="E49" s="361"/>
      <c r="F49" s="361"/>
      <c r="G49" s="372"/>
    </row>
    <row r="50" spans="1:7" x14ac:dyDescent="0.35">
      <c r="A50" s="373" t="s">
        <v>82</v>
      </c>
      <c r="B50" s="374"/>
      <c r="C50" s="121" t="s">
        <v>124</v>
      </c>
      <c r="D50" s="121"/>
      <c r="E50" s="122"/>
      <c r="F50" s="123" t="s">
        <v>83</v>
      </c>
      <c r="G50" s="124" t="s">
        <v>121</v>
      </c>
    </row>
    <row r="51" spans="1:7" x14ac:dyDescent="0.35">
      <c r="A51" s="431"/>
      <c r="G51" s="104"/>
    </row>
    <row r="52" spans="1:7" x14ac:dyDescent="0.35">
      <c r="A52" s="432" t="s">
        <v>76</v>
      </c>
      <c r="B52" s="176" t="s">
        <v>35</v>
      </c>
      <c r="C52" s="106" t="s">
        <v>84</v>
      </c>
      <c r="D52" s="106" t="s">
        <v>85</v>
      </c>
      <c r="E52" s="106" t="s">
        <v>5</v>
      </c>
      <c r="F52" s="106" t="s">
        <v>86</v>
      </c>
      <c r="G52" s="107" t="s">
        <v>55</v>
      </c>
    </row>
    <row r="53" spans="1:7" x14ac:dyDescent="0.35">
      <c r="A53" s="432">
        <v>1</v>
      </c>
      <c r="B53" s="223"/>
      <c r="C53" s="143"/>
      <c r="D53" s="109" t="s">
        <v>134</v>
      </c>
      <c r="E53" s="194" t="s">
        <v>135</v>
      </c>
      <c r="F53" s="106" t="s">
        <v>144</v>
      </c>
      <c r="G53" s="110"/>
    </row>
    <row r="54" spans="1:7" x14ac:dyDescent="0.35">
      <c r="A54" s="433"/>
      <c r="B54" s="223"/>
      <c r="C54" s="106"/>
      <c r="D54" s="109"/>
      <c r="E54" s="165"/>
      <c r="F54" s="106"/>
      <c r="G54" s="110"/>
    </row>
    <row r="55" spans="1:7" x14ac:dyDescent="0.35">
      <c r="A55" s="165"/>
      <c r="B55" s="214"/>
      <c r="C55" s="100"/>
      <c r="D55" s="100"/>
      <c r="E55" s="100"/>
      <c r="F55" s="100"/>
      <c r="G55" s="100"/>
    </row>
    <row r="56" spans="1:7" x14ac:dyDescent="0.35">
      <c r="A56" s="365"/>
      <c r="B56" s="366"/>
      <c r="C56" s="366"/>
      <c r="D56" s="366"/>
      <c r="E56" s="367"/>
      <c r="F56" s="212" t="s">
        <v>22</v>
      </c>
      <c r="G56" s="213">
        <f>SUM(G53:G54)</f>
        <v>0</v>
      </c>
    </row>
    <row r="57" spans="1:7" x14ac:dyDescent="0.35">
      <c r="A57" s="431"/>
      <c r="G57" s="104"/>
    </row>
    <row r="58" spans="1:7" x14ac:dyDescent="0.35">
      <c r="A58" s="434"/>
      <c r="B58" s="177"/>
      <c r="C58" s="112"/>
      <c r="D58" s="112"/>
      <c r="E58" s="112"/>
      <c r="F58" s="112"/>
      <c r="G58" s="113"/>
    </row>
    <row r="59" spans="1:7" x14ac:dyDescent="0.35">
      <c r="A59" s="431" t="s">
        <v>77</v>
      </c>
      <c r="B59" s="178"/>
      <c r="C59" s="47"/>
      <c r="D59" s="47" t="s">
        <v>78</v>
      </c>
      <c r="E59" s="47"/>
      <c r="F59" s="47" t="s">
        <v>79</v>
      </c>
      <c r="G59" s="115"/>
    </row>
    <row r="60" spans="1:7" ht="15" thickBot="1" x14ac:dyDescent="0.4">
      <c r="A60" s="435" t="s">
        <v>29</v>
      </c>
      <c r="B60" s="189"/>
      <c r="C60" s="126"/>
      <c r="D60" s="126" t="s">
        <v>80</v>
      </c>
      <c r="E60" s="127"/>
      <c r="F60" s="126" t="s">
        <v>81</v>
      </c>
      <c r="G60" s="128"/>
    </row>
    <row r="61" spans="1:7" ht="15" thickBot="1" x14ac:dyDescent="0.4"/>
    <row r="62" spans="1:7" x14ac:dyDescent="0.35">
      <c r="A62" s="368" t="s">
        <v>0</v>
      </c>
      <c r="B62" s="369"/>
      <c r="C62" s="369"/>
      <c r="D62" s="369"/>
      <c r="E62" s="369"/>
      <c r="F62" s="369"/>
      <c r="G62" s="370"/>
    </row>
    <row r="63" spans="1:7" x14ac:dyDescent="0.35">
      <c r="A63" s="371" t="s">
        <v>52</v>
      </c>
      <c r="B63" s="361"/>
      <c r="C63" s="361"/>
      <c r="D63" s="361"/>
      <c r="E63" s="361"/>
      <c r="F63" s="361"/>
      <c r="G63" s="372"/>
    </row>
    <row r="64" spans="1:7" x14ac:dyDescent="0.35">
      <c r="A64" s="373" t="s">
        <v>82</v>
      </c>
      <c r="B64" s="374"/>
      <c r="C64" s="121" t="s">
        <v>126</v>
      </c>
      <c r="D64" s="121"/>
      <c r="E64" s="122"/>
      <c r="F64" s="123" t="s">
        <v>83</v>
      </c>
      <c r="G64" s="124" t="s">
        <v>117</v>
      </c>
    </row>
    <row r="65" spans="1:7" x14ac:dyDescent="0.35">
      <c r="A65" s="431"/>
      <c r="G65" s="104"/>
    </row>
    <row r="66" spans="1:7" x14ac:dyDescent="0.35">
      <c r="A66" s="432" t="s">
        <v>76</v>
      </c>
      <c r="B66" s="176" t="s">
        <v>35</v>
      </c>
      <c r="C66" s="106" t="s">
        <v>84</v>
      </c>
      <c r="D66" s="106" t="s">
        <v>85</v>
      </c>
      <c r="E66" s="106" t="s">
        <v>5</v>
      </c>
      <c r="F66" s="106" t="s">
        <v>86</v>
      </c>
      <c r="G66" s="107" t="s">
        <v>55</v>
      </c>
    </row>
    <row r="67" spans="1:7" ht="15.5" x14ac:dyDescent="0.35">
      <c r="A67" s="432">
        <v>1</v>
      </c>
      <c r="B67" s="31"/>
      <c r="C67" s="143"/>
      <c r="D67" s="109" t="s">
        <v>140</v>
      </c>
      <c r="E67" s="165" t="s">
        <v>146</v>
      </c>
      <c r="F67" s="106" t="s">
        <v>137</v>
      </c>
      <c r="G67" s="110"/>
    </row>
    <row r="68" spans="1:7" ht="15.5" x14ac:dyDescent="0.35">
      <c r="A68" s="433">
        <v>2</v>
      </c>
      <c r="B68" s="31"/>
      <c r="C68" s="109"/>
      <c r="D68" s="211" t="s">
        <v>134</v>
      </c>
      <c r="E68" s="100" t="s">
        <v>146</v>
      </c>
      <c r="F68" s="211" t="s">
        <v>137</v>
      </c>
      <c r="G68" s="211"/>
    </row>
    <row r="69" spans="1:7" x14ac:dyDescent="0.35">
      <c r="A69" s="433"/>
      <c r="B69" s="145"/>
      <c r="C69" s="109"/>
      <c r="D69" s="109"/>
      <c r="E69" s="109"/>
      <c r="F69" s="109" t="s">
        <v>22</v>
      </c>
      <c r="G69" s="110">
        <f>SUM(G67:G68)</f>
        <v>0</v>
      </c>
    </row>
    <row r="70" spans="1:7" x14ac:dyDescent="0.35">
      <c r="A70" s="431"/>
      <c r="G70" s="104"/>
    </row>
    <row r="71" spans="1:7" x14ac:dyDescent="0.35">
      <c r="A71" s="434"/>
      <c r="B71" s="177"/>
      <c r="C71" s="112"/>
      <c r="D71" s="112"/>
      <c r="E71" s="112"/>
      <c r="F71" s="112"/>
      <c r="G71" s="113"/>
    </row>
    <row r="72" spans="1:7" x14ac:dyDescent="0.35">
      <c r="A72" s="431" t="s">
        <v>77</v>
      </c>
      <c r="B72" s="178"/>
      <c r="C72" s="47"/>
      <c r="D72" s="47" t="s">
        <v>78</v>
      </c>
      <c r="E72" s="47"/>
      <c r="F72" s="47" t="s">
        <v>79</v>
      </c>
      <c r="G72" s="115"/>
    </row>
    <row r="73" spans="1:7" ht="15" thickBot="1" x14ac:dyDescent="0.4">
      <c r="A73" s="435" t="s">
        <v>29</v>
      </c>
      <c r="B73" s="189"/>
      <c r="C73" s="126"/>
      <c r="D73" s="126" t="s">
        <v>80</v>
      </c>
      <c r="E73" s="127"/>
      <c r="F73" s="126" t="s">
        <v>81</v>
      </c>
      <c r="G73" s="128"/>
    </row>
    <row r="74" spans="1:7" ht="15" thickBot="1" x14ac:dyDescent="0.4"/>
    <row r="75" spans="1:7" x14ac:dyDescent="0.35">
      <c r="A75" s="368" t="s">
        <v>0</v>
      </c>
      <c r="B75" s="369"/>
      <c r="C75" s="369"/>
      <c r="D75" s="369"/>
      <c r="E75" s="369"/>
      <c r="F75" s="369"/>
      <c r="G75" s="370"/>
    </row>
    <row r="76" spans="1:7" x14ac:dyDescent="0.35">
      <c r="A76" s="371" t="s">
        <v>128</v>
      </c>
      <c r="B76" s="361"/>
      <c r="C76" s="361"/>
      <c r="D76" s="361"/>
      <c r="E76" s="361"/>
      <c r="F76" s="361"/>
      <c r="G76" s="372"/>
    </row>
    <row r="77" spans="1:7" x14ac:dyDescent="0.35">
      <c r="A77" s="373" t="s">
        <v>82</v>
      </c>
      <c r="B77" s="374"/>
      <c r="C77" s="121" t="s">
        <v>151</v>
      </c>
      <c r="D77" s="121"/>
      <c r="E77" s="122"/>
      <c r="F77" s="123" t="s">
        <v>83</v>
      </c>
      <c r="G77" s="124" t="s">
        <v>152</v>
      </c>
    </row>
    <row r="78" spans="1:7" x14ac:dyDescent="0.35">
      <c r="A78" s="431"/>
      <c r="G78" s="104"/>
    </row>
    <row r="79" spans="1:7" x14ac:dyDescent="0.35">
      <c r="A79" s="432" t="s">
        <v>76</v>
      </c>
      <c r="B79" s="176" t="s">
        <v>35</v>
      </c>
      <c r="C79" s="106" t="s">
        <v>84</v>
      </c>
      <c r="D79" s="106" t="s">
        <v>85</v>
      </c>
      <c r="E79" s="106" t="s">
        <v>5</v>
      </c>
      <c r="F79" s="106" t="s">
        <v>86</v>
      </c>
      <c r="G79" s="107" t="s">
        <v>55</v>
      </c>
    </row>
    <row r="80" spans="1:7" x14ac:dyDescent="0.35">
      <c r="A80" s="433">
        <v>1</v>
      </c>
      <c r="B80" s="145">
        <v>46033</v>
      </c>
      <c r="C80" s="143" t="s">
        <v>134</v>
      </c>
      <c r="D80" s="109" t="s">
        <v>140</v>
      </c>
      <c r="E80" s="194" t="s">
        <v>134</v>
      </c>
      <c r="F80" s="106" t="s">
        <v>137</v>
      </c>
      <c r="G80" s="110">
        <v>300</v>
      </c>
    </row>
    <row r="81" spans="1:7" x14ac:dyDescent="0.35">
      <c r="A81" s="433">
        <v>2</v>
      </c>
      <c r="B81" s="145">
        <v>46033</v>
      </c>
      <c r="C81" s="109" t="s">
        <v>140</v>
      </c>
      <c r="D81" s="109" t="s">
        <v>134</v>
      </c>
      <c r="E81" s="194" t="s">
        <v>134</v>
      </c>
      <c r="F81" s="106" t="s">
        <v>137</v>
      </c>
      <c r="G81" s="110">
        <v>40</v>
      </c>
    </row>
    <row r="82" spans="1:7" x14ac:dyDescent="0.35">
      <c r="A82" s="380"/>
      <c r="B82" s="381"/>
      <c r="C82" s="381"/>
      <c r="D82" s="381"/>
      <c r="E82" s="381"/>
      <c r="F82" s="382"/>
      <c r="G82" s="100"/>
    </row>
    <row r="83" spans="1:7" x14ac:dyDescent="0.35">
      <c r="A83" s="431"/>
      <c r="C83" s="182"/>
      <c r="D83" s="112"/>
      <c r="E83" s="163"/>
      <c r="F83" s="195" t="s">
        <v>142</v>
      </c>
      <c r="G83" s="115">
        <f>SUM(G80:G81)</f>
        <v>340</v>
      </c>
    </row>
    <row r="84" spans="1:7" x14ac:dyDescent="0.35">
      <c r="A84" s="431"/>
      <c r="C84" s="182"/>
      <c r="D84" s="112"/>
      <c r="E84" s="163"/>
      <c r="G84" s="104"/>
    </row>
    <row r="85" spans="1:7" x14ac:dyDescent="0.35">
      <c r="A85" s="431"/>
      <c r="C85" s="182"/>
      <c r="D85" s="112"/>
      <c r="E85" s="163"/>
      <c r="G85" s="104"/>
    </row>
    <row r="86" spans="1:7" x14ac:dyDescent="0.35">
      <c r="A86" s="431"/>
      <c r="C86" s="182"/>
      <c r="D86" s="112"/>
      <c r="E86" s="163"/>
      <c r="G86" s="104"/>
    </row>
    <row r="87" spans="1:7" x14ac:dyDescent="0.35">
      <c r="A87" s="434"/>
      <c r="B87" s="177"/>
      <c r="C87" s="112"/>
      <c r="D87" s="112"/>
      <c r="E87" s="112"/>
      <c r="F87" s="112"/>
      <c r="G87" s="113"/>
    </row>
    <row r="88" spans="1:7" x14ac:dyDescent="0.35">
      <c r="A88" s="431" t="s">
        <v>77</v>
      </c>
      <c r="B88" s="178"/>
      <c r="C88" s="47"/>
      <c r="D88" s="47" t="s">
        <v>78</v>
      </c>
      <c r="E88" s="47"/>
      <c r="F88" s="47" t="s">
        <v>79</v>
      </c>
      <c r="G88" s="115"/>
    </row>
    <row r="89" spans="1:7" ht="15" thickBot="1" x14ac:dyDescent="0.4">
      <c r="A89" s="435" t="s">
        <v>29</v>
      </c>
      <c r="B89" s="189"/>
      <c r="C89" s="126"/>
      <c r="D89" s="126" t="s">
        <v>80</v>
      </c>
      <c r="E89" s="127"/>
      <c r="F89" s="126" t="s">
        <v>81</v>
      </c>
      <c r="G89" s="128"/>
    </row>
    <row r="91" spans="1:7" ht="15" thickBot="1" x14ac:dyDescent="0.4"/>
    <row r="92" spans="1:7" x14ac:dyDescent="0.35">
      <c r="A92" s="368" t="s">
        <v>0</v>
      </c>
      <c r="B92" s="369"/>
      <c r="C92" s="369"/>
      <c r="D92" s="369"/>
      <c r="E92" s="369"/>
      <c r="F92" s="369"/>
      <c r="G92" s="370"/>
    </row>
    <row r="93" spans="1:7" x14ac:dyDescent="0.35">
      <c r="A93" s="371" t="s">
        <v>160</v>
      </c>
      <c r="B93" s="361"/>
      <c r="C93" s="361"/>
      <c r="D93" s="361"/>
      <c r="E93" s="361"/>
      <c r="F93" s="361"/>
      <c r="G93" s="372"/>
    </row>
    <row r="94" spans="1:7" x14ac:dyDescent="0.35">
      <c r="A94" s="373" t="s">
        <v>82</v>
      </c>
      <c r="B94" s="374"/>
      <c r="C94" s="121" t="s">
        <v>222</v>
      </c>
      <c r="D94" s="121"/>
      <c r="E94" s="122"/>
      <c r="F94" s="123" t="s">
        <v>83</v>
      </c>
      <c r="G94" s="124" t="s">
        <v>117</v>
      </c>
    </row>
    <row r="95" spans="1:7" x14ac:dyDescent="0.35">
      <c r="A95" s="431"/>
      <c r="G95" s="104"/>
    </row>
    <row r="96" spans="1:7" x14ac:dyDescent="0.35">
      <c r="A96" s="432" t="s">
        <v>76</v>
      </c>
      <c r="B96" s="176" t="s">
        <v>35</v>
      </c>
      <c r="C96" s="106" t="s">
        <v>84</v>
      </c>
      <c r="D96" s="106" t="s">
        <v>85</v>
      </c>
      <c r="E96" s="106" t="s">
        <v>5</v>
      </c>
      <c r="F96" s="106" t="s">
        <v>86</v>
      </c>
      <c r="G96" s="107" t="s">
        <v>55</v>
      </c>
    </row>
    <row r="97" spans="1:7" ht="15.5" x14ac:dyDescent="0.35">
      <c r="A97" s="432">
        <v>1</v>
      </c>
      <c r="B97" s="31">
        <v>46034</v>
      </c>
      <c r="C97" s="143" t="s">
        <v>134</v>
      </c>
      <c r="D97" s="109" t="s">
        <v>140</v>
      </c>
      <c r="E97" s="165" t="s">
        <v>146</v>
      </c>
      <c r="F97" s="106" t="s">
        <v>137</v>
      </c>
      <c r="G97" s="109">
        <v>80</v>
      </c>
    </row>
    <row r="98" spans="1:7" ht="15.5" x14ac:dyDescent="0.35">
      <c r="A98" s="432">
        <v>2</v>
      </c>
      <c r="B98" s="31">
        <v>46034</v>
      </c>
      <c r="C98" s="109" t="s">
        <v>140</v>
      </c>
      <c r="D98" s="109" t="s">
        <v>134</v>
      </c>
      <c r="E98" s="165" t="s">
        <v>146</v>
      </c>
      <c r="F98" s="106" t="s">
        <v>137</v>
      </c>
      <c r="G98" s="109">
        <v>40</v>
      </c>
    </row>
    <row r="99" spans="1:7" ht="15.5" x14ac:dyDescent="0.35">
      <c r="A99" s="432">
        <v>3</v>
      </c>
      <c r="B99" s="31">
        <v>46042</v>
      </c>
      <c r="C99" s="143" t="s">
        <v>134</v>
      </c>
      <c r="D99" s="109" t="s">
        <v>140</v>
      </c>
      <c r="E99" s="165" t="s">
        <v>146</v>
      </c>
      <c r="F99" s="106" t="s">
        <v>137</v>
      </c>
      <c r="G99" s="109">
        <v>300</v>
      </c>
    </row>
    <row r="100" spans="1:7" ht="15.5" x14ac:dyDescent="0.35">
      <c r="A100" s="433"/>
      <c r="B100" s="31"/>
      <c r="C100" s="109"/>
      <c r="D100" s="109"/>
      <c r="E100" s="100"/>
      <c r="F100" s="211"/>
      <c r="G100" s="211"/>
    </row>
    <row r="101" spans="1:7" x14ac:dyDescent="0.35">
      <c r="A101" s="433"/>
      <c r="B101" s="145"/>
      <c r="C101" s="109"/>
      <c r="D101" s="109"/>
      <c r="E101" s="109"/>
      <c r="F101" s="109" t="s">
        <v>22</v>
      </c>
      <c r="G101" s="110">
        <f>SUM(G97:G100)</f>
        <v>420</v>
      </c>
    </row>
    <row r="102" spans="1:7" x14ac:dyDescent="0.35">
      <c r="A102" s="431"/>
      <c r="G102" s="104"/>
    </row>
    <row r="103" spans="1:7" x14ac:dyDescent="0.35">
      <c r="A103" s="434"/>
      <c r="B103" s="177"/>
      <c r="C103" s="112"/>
      <c r="D103" s="112"/>
      <c r="E103" s="112"/>
      <c r="F103" s="112"/>
      <c r="G103" s="113"/>
    </row>
    <row r="104" spans="1:7" x14ac:dyDescent="0.35">
      <c r="A104" s="431" t="s">
        <v>77</v>
      </c>
      <c r="B104" s="178"/>
      <c r="C104" s="47"/>
      <c r="D104" s="47" t="s">
        <v>78</v>
      </c>
      <c r="E104" s="47"/>
      <c r="F104" s="47" t="s">
        <v>79</v>
      </c>
      <c r="G104" s="115"/>
    </row>
    <row r="105" spans="1:7" ht="15" thickBot="1" x14ac:dyDescent="0.4">
      <c r="A105" s="435" t="s">
        <v>29</v>
      </c>
      <c r="B105" s="189"/>
      <c r="C105" s="126"/>
      <c r="D105" s="126" t="s">
        <v>80</v>
      </c>
      <c r="E105" s="127"/>
      <c r="F105" s="126" t="s">
        <v>81</v>
      </c>
      <c r="G105" s="128"/>
    </row>
  </sheetData>
  <mergeCells count="37">
    <mergeCell ref="A41:F41"/>
    <mergeCell ref="A25:F25"/>
    <mergeCell ref="A92:G92"/>
    <mergeCell ref="A93:G93"/>
    <mergeCell ref="A94:B94"/>
    <mergeCell ref="A42:E42"/>
    <mergeCell ref="A82:F82"/>
    <mergeCell ref="A77:B77"/>
    <mergeCell ref="A76:G76"/>
    <mergeCell ref="A48:G48"/>
    <mergeCell ref="A49:G49"/>
    <mergeCell ref="A50:B50"/>
    <mergeCell ref="A56:E56"/>
    <mergeCell ref="A75:G75"/>
    <mergeCell ref="A64:B64"/>
    <mergeCell ref="A63:G63"/>
    <mergeCell ref="A62:G62"/>
    <mergeCell ref="I14:J14"/>
    <mergeCell ref="I1:O1"/>
    <mergeCell ref="I2:O2"/>
    <mergeCell ref="I3:J3"/>
    <mergeCell ref="A15:G15"/>
    <mergeCell ref="I12:O12"/>
    <mergeCell ref="I13:O13"/>
    <mergeCell ref="A34:B34"/>
    <mergeCell ref="A33:G33"/>
    <mergeCell ref="A32:G32"/>
    <mergeCell ref="A1:G1"/>
    <mergeCell ref="A2:G2"/>
    <mergeCell ref="A3:B3"/>
    <mergeCell ref="A17:B17"/>
    <mergeCell ref="A16:G16"/>
    <mergeCell ref="I20:M20"/>
    <mergeCell ref="I28:O28"/>
    <mergeCell ref="I29:O29"/>
    <mergeCell ref="I30:J30"/>
    <mergeCell ref="A26:E27"/>
  </mergeCells>
  <pageMargins left="0.7" right="0.7" top="0.75" bottom="0.75" header="0.3" footer="0.3"/>
  <pageSetup scale="4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zoomScaleNormal="100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N11" sqref="N11"/>
    </sheetView>
  </sheetViews>
  <sheetFormatPr defaultRowHeight="14.5" x14ac:dyDescent="0.35"/>
  <cols>
    <col min="1" max="1" width="10" bestFit="1" customWidth="1"/>
    <col min="3" max="3" width="11.08984375" customWidth="1"/>
    <col min="7" max="7" width="11.08984375" customWidth="1"/>
    <col min="8" max="8" width="11.453125" customWidth="1"/>
  </cols>
  <sheetData>
    <row r="1" spans="1:12" x14ac:dyDescent="0.35">
      <c r="A1" s="356" t="s">
        <v>51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2" x14ac:dyDescent="0.35">
      <c r="A2" s="25"/>
      <c r="B2" s="26"/>
      <c r="C2" s="26"/>
      <c r="D2" s="26"/>
      <c r="E2" s="27"/>
      <c r="F2" s="27"/>
      <c r="G2" s="357" t="s">
        <v>34</v>
      </c>
      <c r="H2" s="358"/>
      <c r="I2" s="358"/>
      <c r="J2" s="358"/>
      <c r="K2" s="359"/>
      <c r="L2" s="24"/>
    </row>
    <row r="3" spans="1:12" ht="21" x14ac:dyDescent="0.35">
      <c r="A3" s="139" t="s">
        <v>35</v>
      </c>
      <c r="B3" s="28" t="s">
        <v>114</v>
      </c>
      <c r="C3" s="28" t="s">
        <v>37</v>
      </c>
      <c r="D3" s="28" t="s">
        <v>38</v>
      </c>
      <c r="E3" s="28" t="s">
        <v>47</v>
      </c>
      <c r="F3" s="28" t="s">
        <v>48</v>
      </c>
      <c r="G3" s="28" t="s">
        <v>42</v>
      </c>
      <c r="H3" s="28" t="s">
        <v>49</v>
      </c>
      <c r="I3" s="28" t="s">
        <v>44</v>
      </c>
      <c r="J3" s="28" t="s">
        <v>45</v>
      </c>
      <c r="K3" s="28" t="s">
        <v>46</v>
      </c>
      <c r="L3" s="28" t="s">
        <v>22</v>
      </c>
    </row>
    <row r="4" spans="1:12" x14ac:dyDescent="0.35">
      <c r="A4" s="29"/>
      <c r="B4" s="30"/>
      <c r="C4" s="30"/>
      <c r="D4" s="30">
        <f>SUM(D5:D100)</f>
        <v>327</v>
      </c>
      <c r="E4" s="30">
        <f t="shared" ref="E4:F4" si="0">SUM(E5:E100)</f>
        <v>0</v>
      </c>
      <c r="F4" s="30">
        <f t="shared" si="0"/>
        <v>2200</v>
      </c>
      <c r="G4" s="30"/>
      <c r="H4" s="30">
        <f>SUM(H5:H100)</f>
        <v>420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2620</v>
      </c>
    </row>
    <row r="5" spans="1:12" ht="26" x14ac:dyDescent="0.35">
      <c r="A5" s="31">
        <v>46034</v>
      </c>
      <c r="B5" s="32">
        <v>10925</v>
      </c>
      <c r="C5" s="32" t="s">
        <v>170</v>
      </c>
      <c r="D5" s="33">
        <v>20</v>
      </c>
      <c r="E5" s="33"/>
      <c r="F5" s="33">
        <v>200</v>
      </c>
      <c r="G5" s="32" t="s">
        <v>126</v>
      </c>
      <c r="H5" s="34">
        <v>120</v>
      </c>
      <c r="I5" s="34"/>
      <c r="J5" s="34"/>
      <c r="K5" s="34"/>
      <c r="L5" s="35"/>
    </row>
    <row r="6" spans="1:12" ht="26" x14ac:dyDescent="0.35">
      <c r="A6" s="31">
        <v>46042</v>
      </c>
      <c r="B6" s="32">
        <v>10904</v>
      </c>
      <c r="C6" s="32" t="s">
        <v>170</v>
      </c>
      <c r="D6" s="33">
        <v>307</v>
      </c>
      <c r="E6" s="33"/>
      <c r="F6" s="33">
        <v>2000</v>
      </c>
      <c r="G6" s="32" t="s">
        <v>221</v>
      </c>
      <c r="H6" s="34">
        <v>300</v>
      </c>
      <c r="I6" s="34"/>
      <c r="J6" s="34"/>
      <c r="K6" s="34"/>
      <c r="L6" s="35"/>
    </row>
    <row r="7" spans="1:12" ht="15.5" x14ac:dyDescent="0.3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scale="7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C16" sqref="C16"/>
    </sheetView>
  </sheetViews>
  <sheetFormatPr defaultRowHeight="14.5" x14ac:dyDescent="0.35"/>
  <cols>
    <col min="1" max="1" width="20.26953125" customWidth="1"/>
    <col min="2" max="2" width="17.26953125" customWidth="1"/>
    <col min="3" max="3" width="19.26953125" bestFit="1" customWidth="1"/>
    <col min="7" max="7" width="12.54296875" customWidth="1"/>
    <col min="8" max="8" width="10.26953125" customWidth="1"/>
  </cols>
  <sheetData>
    <row r="1" spans="1:12" x14ac:dyDescent="0.35">
      <c r="A1" s="356" t="s">
        <v>52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</row>
    <row r="2" spans="1:12" x14ac:dyDescent="0.35">
      <c r="A2" s="25"/>
      <c r="B2" s="26"/>
      <c r="C2" s="26"/>
      <c r="D2" s="26"/>
      <c r="E2" s="27"/>
      <c r="F2" s="27"/>
      <c r="G2" s="357" t="s">
        <v>34</v>
      </c>
      <c r="H2" s="358"/>
      <c r="I2" s="358"/>
      <c r="J2" s="358"/>
      <c r="K2" s="359"/>
      <c r="L2" s="24"/>
    </row>
    <row r="3" spans="1:12" ht="21" x14ac:dyDescent="0.35">
      <c r="A3" s="139" t="s">
        <v>35</v>
      </c>
      <c r="B3" s="28" t="s">
        <v>114</v>
      </c>
      <c r="C3" s="28" t="s">
        <v>37</v>
      </c>
      <c r="D3" s="28" t="s">
        <v>38</v>
      </c>
      <c r="E3" s="28" t="s">
        <v>47</v>
      </c>
      <c r="F3" s="28" t="s">
        <v>48</v>
      </c>
      <c r="G3" s="28" t="s">
        <v>42</v>
      </c>
      <c r="H3" s="28" t="s">
        <v>49</v>
      </c>
      <c r="I3" s="28" t="s">
        <v>44</v>
      </c>
      <c r="J3" s="28" t="s">
        <v>45</v>
      </c>
      <c r="K3" s="28" t="s">
        <v>46</v>
      </c>
      <c r="L3" s="28" t="s">
        <v>22</v>
      </c>
    </row>
    <row r="4" spans="1:12" x14ac:dyDescent="0.35">
      <c r="A4" s="29"/>
      <c r="B4" s="30"/>
      <c r="C4" s="30"/>
      <c r="D4" s="30">
        <f>SUM(D5:D101)</f>
        <v>240</v>
      </c>
      <c r="E4" s="30">
        <f>SUM(E5:E101)</f>
        <v>0</v>
      </c>
      <c r="F4" s="30">
        <f>SUM(F5:F101)</f>
        <v>300</v>
      </c>
      <c r="G4" s="30"/>
      <c r="H4" s="30">
        <f>SUM(H5:H101)</f>
        <v>40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340</v>
      </c>
    </row>
    <row r="5" spans="1:12" s="246" customFormat="1" ht="26.25" customHeight="1" x14ac:dyDescent="0.35">
      <c r="A5" s="251">
        <v>46033</v>
      </c>
      <c r="B5" s="245">
        <v>10912</v>
      </c>
      <c r="C5" s="245" t="s">
        <v>169</v>
      </c>
      <c r="D5" s="245">
        <v>240</v>
      </c>
      <c r="E5" s="245"/>
      <c r="F5" s="245">
        <v>300</v>
      </c>
      <c r="G5" s="245" t="s">
        <v>161</v>
      </c>
      <c r="H5" s="245">
        <v>40</v>
      </c>
      <c r="I5" s="245"/>
      <c r="J5" s="245"/>
      <c r="K5" s="245"/>
      <c r="L5" s="245"/>
    </row>
    <row r="6" spans="1:12" x14ac:dyDescent="0.35">
      <c r="A6" s="251"/>
      <c r="B6" s="252"/>
      <c r="C6" s="253"/>
      <c r="D6" s="252"/>
      <c r="E6" s="252"/>
      <c r="F6" s="252"/>
      <c r="G6" s="252"/>
      <c r="H6" s="254"/>
      <c r="I6" s="254"/>
      <c r="J6" s="254"/>
      <c r="K6" s="254"/>
      <c r="L6" s="255"/>
    </row>
    <row r="7" spans="1:12" x14ac:dyDescent="0.35">
      <c r="A7" s="251"/>
      <c r="B7" s="32"/>
      <c r="C7" s="181"/>
      <c r="D7" s="33"/>
      <c r="E7" s="33"/>
      <c r="F7" s="33"/>
      <c r="G7" s="33"/>
      <c r="H7" s="34"/>
      <c r="I7" s="34"/>
      <c r="J7" s="34"/>
      <c r="K7" s="34"/>
      <c r="L7" s="35"/>
    </row>
    <row r="8" spans="1:12" ht="15.5" x14ac:dyDescent="0.35">
      <c r="A8" s="31"/>
      <c r="B8" s="32"/>
      <c r="C8" s="32"/>
      <c r="D8" s="33"/>
      <c r="E8" s="33"/>
      <c r="F8" s="33"/>
      <c r="G8" s="33"/>
      <c r="H8" s="34"/>
      <c r="I8" s="34"/>
      <c r="J8" s="34"/>
      <c r="K8" s="34"/>
      <c r="L8" s="35"/>
    </row>
    <row r="9" spans="1:12" ht="15.5" x14ac:dyDescent="0.3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5" x14ac:dyDescent="0.3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5" x14ac:dyDescent="0.3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5" x14ac:dyDescent="0.3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5" x14ac:dyDescent="0.3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5" x14ac:dyDescent="0.3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5" x14ac:dyDescent="0.3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5" x14ac:dyDescent="0.3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5" x14ac:dyDescent="0.3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5" x14ac:dyDescent="0.3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5" x14ac:dyDescent="0.3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5" x14ac:dyDescent="0.3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5" x14ac:dyDescent="0.3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5" x14ac:dyDescent="0.3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5" x14ac:dyDescent="0.3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5" x14ac:dyDescent="0.3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5" x14ac:dyDescent="0.3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5" x14ac:dyDescent="0.3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5" x14ac:dyDescent="0.3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5" x14ac:dyDescent="0.3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5" x14ac:dyDescent="0.3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5" x14ac:dyDescent="0.3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5" x14ac:dyDescent="0.3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5" x14ac:dyDescent="0.3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5" x14ac:dyDescent="0.3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5" x14ac:dyDescent="0.3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5" x14ac:dyDescent="0.3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5" x14ac:dyDescent="0.3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5" x14ac:dyDescent="0.3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5" x14ac:dyDescent="0.3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5" x14ac:dyDescent="0.3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5" x14ac:dyDescent="0.3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5" x14ac:dyDescent="0.3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5" x14ac:dyDescent="0.3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5" x14ac:dyDescent="0.3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5" x14ac:dyDescent="0.3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5" x14ac:dyDescent="0.3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5" x14ac:dyDescent="0.3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5" x14ac:dyDescent="0.3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5" x14ac:dyDescent="0.3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5" x14ac:dyDescent="0.3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5" x14ac:dyDescent="0.3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5" x14ac:dyDescent="0.3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5" x14ac:dyDescent="0.3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5" x14ac:dyDescent="0.3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5" x14ac:dyDescent="0.3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5" x14ac:dyDescent="0.3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5" x14ac:dyDescent="0.3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5" x14ac:dyDescent="0.3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5" x14ac:dyDescent="0.3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5" x14ac:dyDescent="0.3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5" x14ac:dyDescent="0.3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5" x14ac:dyDescent="0.3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5" x14ac:dyDescent="0.3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5" x14ac:dyDescent="0.3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5" x14ac:dyDescent="0.3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5" x14ac:dyDescent="0.3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5" x14ac:dyDescent="0.3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5" x14ac:dyDescent="0.3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5" x14ac:dyDescent="0.3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5" x14ac:dyDescent="0.3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5" x14ac:dyDescent="0.3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5" x14ac:dyDescent="0.3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5" x14ac:dyDescent="0.3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5" x14ac:dyDescent="0.3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5" x14ac:dyDescent="0.3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5" x14ac:dyDescent="0.3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5" x14ac:dyDescent="0.3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5" x14ac:dyDescent="0.3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5" x14ac:dyDescent="0.3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5" x14ac:dyDescent="0.3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5" x14ac:dyDescent="0.3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5" x14ac:dyDescent="0.3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5" x14ac:dyDescent="0.3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5" x14ac:dyDescent="0.3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5" x14ac:dyDescent="0.3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5" x14ac:dyDescent="0.3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5" x14ac:dyDescent="0.3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5" x14ac:dyDescent="0.3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5" x14ac:dyDescent="0.3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5" x14ac:dyDescent="0.3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5" x14ac:dyDescent="0.3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5" x14ac:dyDescent="0.3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5" x14ac:dyDescent="0.3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5" x14ac:dyDescent="0.3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5" x14ac:dyDescent="0.3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5" x14ac:dyDescent="0.3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5" x14ac:dyDescent="0.3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5" x14ac:dyDescent="0.3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5" x14ac:dyDescent="0.3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5" x14ac:dyDescent="0.3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5" x14ac:dyDescent="0.3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5" x14ac:dyDescent="0.3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5" x14ac:dyDescent="0.3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5" x14ac:dyDescent="0.3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5" x14ac:dyDescent="0.3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5" x14ac:dyDescent="0.3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5" x14ac:dyDescent="0.3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5" x14ac:dyDescent="0.3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5" x14ac:dyDescent="0.3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5" x14ac:dyDescent="0.3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5" x14ac:dyDescent="0.3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5" x14ac:dyDescent="0.3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5" x14ac:dyDescent="0.3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5" x14ac:dyDescent="0.3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5" x14ac:dyDescent="0.3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5" x14ac:dyDescent="0.3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5" x14ac:dyDescent="0.3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5" x14ac:dyDescent="0.3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5" x14ac:dyDescent="0.3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5" x14ac:dyDescent="0.3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5" x14ac:dyDescent="0.3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5" x14ac:dyDescent="0.3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5" x14ac:dyDescent="0.3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5" x14ac:dyDescent="0.3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5" x14ac:dyDescent="0.3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5" x14ac:dyDescent="0.3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5" x14ac:dyDescent="0.3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5" x14ac:dyDescent="0.3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5" x14ac:dyDescent="0.3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5" x14ac:dyDescent="0.3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5" x14ac:dyDescent="0.3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5" x14ac:dyDescent="0.3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5" x14ac:dyDescent="0.3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5" x14ac:dyDescent="0.3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5" x14ac:dyDescent="0.3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5" x14ac:dyDescent="0.3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5" x14ac:dyDescent="0.3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5" x14ac:dyDescent="0.3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5" x14ac:dyDescent="0.3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5" x14ac:dyDescent="0.3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5" x14ac:dyDescent="0.3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5" x14ac:dyDescent="0.3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5" x14ac:dyDescent="0.3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5" x14ac:dyDescent="0.3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5" x14ac:dyDescent="0.3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5" x14ac:dyDescent="0.3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5" x14ac:dyDescent="0.3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5" x14ac:dyDescent="0.3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5" x14ac:dyDescent="0.3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5" x14ac:dyDescent="0.3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5" x14ac:dyDescent="0.3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5" x14ac:dyDescent="0.3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5" x14ac:dyDescent="0.3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5" x14ac:dyDescent="0.3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5" x14ac:dyDescent="0.3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5" x14ac:dyDescent="0.3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5" x14ac:dyDescent="0.3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5" x14ac:dyDescent="0.3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5" x14ac:dyDescent="0.3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5" x14ac:dyDescent="0.3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5" x14ac:dyDescent="0.3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5" x14ac:dyDescent="0.3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5" x14ac:dyDescent="0.3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5" x14ac:dyDescent="0.3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5" x14ac:dyDescent="0.3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5" x14ac:dyDescent="0.3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5" x14ac:dyDescent="0.3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5" x14ac:dyDescent="0.3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5" x14ac:dyDescent="0.3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5" x14ac:dyDescent="0.3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5" x14ac:dyDescent="0.3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2">
    <mergeCell ref="A1:L1"/>
    <mergeCell ref="G2:K2"/>
  </mergeCells>
  <pageMargins left="0.25" right="0.25" top="0.75" bottom="0.75" header="0.3" footer="0.3"/>
  <pageSetup paperSize="9" scale="7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sqref="A1:E7"/>
    </sheetView>
  </sheetViews>
  <sheetFormatPr defaultRowHeight="14.5" x14ac:dyDescent="0.35"/>
  <cols>
    <col min="1" max="1" width="13" customWidth="1"/>
    <col min="2" max="2" width="23.81640625" customWidth="1"/>
    <col min="3" max="3" width="18" customWidth="1"/>
    <col min="4" max="4" width="15.1796875" customWidth="1"/>
    <col min="5" max="5" width="19.54296875" customWidth="1"/>
  </cols>
  <sheetData>
    <row r="1" spans="1:6" x14ac:dyDescent="0.35">
      <c r="A1" s="45"/>
      <c r="B1" s="383" t="s">
        <v>53</v>
      </c>
      <c r="C1" s="383"/>
      <c r="D1" s="383"/>
      <c r="E1" s="46"/>
    </row>
    <row r="2" spans="1:6" x14ac:dyDescent="0.35">
      <c r="A2" s="45"/>
      <c r="B2" s="383"/>
      <c r="C2" s="383"/>
      <c r="D2" s="383"/>
      <c r="E2" s="46"/>
    </row>
    <row r="3" spans="1:6" x14ac:dyDescent="0.35">
      <c r="A3" s="47"/>
      <c r="B3" s="47"/>
      <c r="C3" s="48" t="s">
        <v>22</v>
      </c>
      <c r="D3" s="48">
        <f>SUM(D5:D37)</f>
        <v>400</v>
      </c>
      <c r="E3" s="47"/>
    </row>
    <row r="4" spans="1:6" x14ac:dyDescent="0.35">
      <c r="A4" s="49" t="s">
        <v>35</v>
      </c>
      <c r="B4" s="50" t="s">
        <v>54</v>
      </c>
      <c r="C4" s="50" t="s">
        <v>5</v>
      </c>
      <c r="D4" s="50" t="s">
        <v>55</v>
      </c>
      <c r="E4" s="51" t="s">
        <v>56</v>
      </c>
    </row>
    <row r="5" spans="1:6" s="246" customFormat="1" x14ac:dyDescent="0.35">
      <c r="A5" s="257">
        <v>46034</v>
      </c>
      <c r="B5" s="258" t="s">
        <v>149</v>
      </c>
      <c r="C5" s="258" t="s">
        <v>134</v>
      </c>
      <c r="D5" s="258">
        <v>100</v>
      </c>
      <c r="E5" s="249"/>
    </row>
    <row r="6" spans="1:6" ht="32.25" customHeight="1" x14ac:dyDescent="0.35">
      <c r="A6" s="257">
        <v>46034</v>
      </c>
      <c r="B6" s="258" t="s">
        <v>149</v>
      </c>
      <c r="C6" s="258" t="s">
        <v>134</v>
      </c>
      <c r="D6" s="258">
        <v>200</v>
      </c>
      <c r="E6" s="249"/>
    </row>
    <row r="7" spans="1:6" x14ac:dyDescent="0.35">
      <c r="A7" s="257">
        <v>46035</v>
      </c>
      <c r="B7" s="258" t="s">
        <v>149</v>
      </c>
      <c r="C7" s="258" t="s">
        <v>134</v>
      </c>
      <c r="D7" s="258">
        <v>100</v>
      </c>
      <c r="E7" s="259"/>
    </row>
    <row r="8" spans="1:6" x14ac:dyDescent="0.35">
      <c r="A8" s="256"/>
      <c r="B8" s="248"/>
      <c r="C8" s="248"/>
      <c r="D8" s="248"/>
      <c r="E8" s="249"/>
    </row>
    <row r="9" spans="1:6" x14ac:dyDescent="0.35">
      <c r="A9" s="222"/>
      <c r="B9" s="100"/>
      <c r="C9" s="100"/>
      <c r="D9" s="211"/>
      <c r="E9" s="54"/>
    </row>
    <row r="10" spans="1:6" x14ac:dyDescent="0.35">
      <c r="A10" s="222"/>
      <c r="B10" s="100"/>
      <c r="C10" s="100"/>
      <c r="D10" s="211"/>
      <c r="E10" s="74"/>
    </row>
    <row r="11" spans="1:6" x14ac:dyDescent="0.35">
      <c r="A11" s="222"/>
      <c r="B11" s="210"/>
      <c r="C11" s="208"/>
      <c r="D11" s="250"/>
      <c r="E11" s="73"/>
    </row>
    <row r="12" spans="1:6" x14ac:dyDescent="0.35">
      <c r="A12" s="222"/>
      <c r="B12" s="200"/>
      <c r="C12" s="201"/>
      <c r="D12" s="202"/>
      <c r="E12" s="54"/>
      <c r="F12" s="71"/>
    </row>
    <row r="13" spans="1:6" x14ac:dyDescent="0.35">
      <c r="A13" s="222"/>
      <c r="B13" s="200"/>
      <c r="C13" s="201"/>
      <c r="D13" s="202"/>
      <c r="E13" s="54"/>
      <c r="F13" s="71"/>
    </row>
    <row r="14" spans="1:6" x14ac:dyDescent="0.35">
      <c r="A14" s="199"/>
      <c r="B14" s="200"/>
      <c r="C14" s="201"/>
      <c r="D14" s="202"/>
      <c r="E14" s="54"/>
      <c r="F14" s="71"/>
    </row>
    <row r="15" spans="1:6" x14ac:dyDescent="0.35">
      <c r="A15" s="207"/>
      <c r="B15" s="208"/>
      <c r="C15" s="208"/>
      <c r="D15" s="209"/>
      <c r="E15" s="74"/>
    </row>
    <row r="16" spans="1:6" x14ac:dyDescent="0.35">
      <c r="A16" s="207"/>
      <c r="B16" s="208"/>
      <c r="C16" s="208"/>
      <c r="D16" s="209"/>
      <c r="E16" s="74"/>
    </row>
    <row r="17" spans="1:5" x14ac:dyDescent="0.35">
      <c r="A17" s="207"/>
      <c r="B17" s="208"/>
      <c r="C17" s="208"/>
      <c r="D17" s="209"/>
      <c r="E17" s="74"/>
    </row>
    <row r="18" spans="1:5" x14ac:dyDescent="0.35">
      <c r="A18" s="56"/>
      <c r="B18" s="54"/>
      <c r="C18" s="54"/>
      <c r="D18" s="54"/>
      <c r="E18" s="54"/>
    </row>
    <row r="19" spans="1:5" x14ac:dyDescent="0.35">
      <c r="A19" s="56"/>
      <c r="B19" s="54"/>
      <c r="C19" s="54"/>
      <c r="D19" s="54"/>
      <c r="E19" s="54"/>
    </row>
    <row r="20" spans="1:5" x14ac:dyDescent="0.35">
      <c r="A20" s="56"/>
      <c r="B20" s="54"/>
      <c r="C20" s="54"/>
      <c r="D20" s="54"/>
      <c r="E20" s="54"/>
    </row>
    <row r="21" spans="1:5" x14ac:dyDescent="0.35">
      <c r="A21" s="56"/>
      <c r="B21" s="54"/>
      <c r="C21" s="54"/>
      <c r="D21" s="54"/>
      <c r="E21" s="54"/>
    </row>
    <row r="22" spans="1:5" x14ac:dyDescent="0.35">
      <c r="A22" s="56"/>
      <c r="B22" s="54"/>
      <c r="C22" s="54"/>
      <c r="D22" s="54"/>
      <c r="E22" s="54"/>
    </row>
    <row r="23" spans="1:5" x14ac:dyDescent="0.35">
      <c r="A23" s="56"/>
      <c r="B23" s="54"/>
      <c r="C23" s="54"/>
      <c r="D23" s="54"/>
      <c r="E23" s="54"/>
    </row>
    <row r="24" spans="1:5" x14ac:dyDescent="0.35">
      <c r="A24" s="56"/>
      <c r="B24" s="54"/>
      <c r="C24" s="54"/>
      <c r="D24" s="54"/>
      <c r="E24" s="54"/>
    </row>
    <row r="25" spans="1:5" x14ac:dyDescent="0.35">
      <c r="A25" s="56"/>
      <c r="B25" s="54"/>
      <c r="C25" s="54"/>
      <c r="D25" s="54"/>
      <c r="E25" s="54"/>
    </row>
    <row r="26" spans="1:5" x14ac:dyDescent="0.35">
      <c r="A26" s="56"/>
      <c r="B26" s="54"/>
      <c r="C26" s="54"/>
      <c r="D26" s="54"/>
      <c r="E26" s="54"/>
    </row>
    <row r="27" spans="1:5" x14ac:dyDescent="0.35">
      <c r="A27" s="56"/>
      <c r="B27" s="54"/>
      <c r="C27" s="54"/>
      <c r="D27" s="54"/>
      <c r="E27" s="54"/>
    </row>
    <row r="28" spans="1:5" x14ac:dyDescent="0.35">
      <c r="A28" s="56"/>
      <c r="B28" s="54"/>
      <c r="C28" s="54"/>
      <c r="D28" s="54"/>
      <c r="E28" s="54"/>
    </row>
    <row r="29" spans="1:5" x14ac:dyDescent="0.35">
      <c r="A29" s="56"/>
      <c r="B29" s="54"/>
      <c r="C29" s="54"/>
      <c r="D29" s="54"/>
      <c r="E29" s="54"/>
    </row>
    <row r="30" spans="1:5" x14ac:dyDescent="0.35">
      <c r="A30" s="56"/>
      <c r="B30" s="54"/>
      <c r="C30" s="54"/>
      <c r="D30" s="54"/>
      <c r="E30" s="54"/>
    </row>
    <row r="31" spans="1:5" x14ac:dyDescent="0.35">
      <c r="A31" s="56"/>
      <c r="B31" s="54"/>
      <c r="C31" s="54"/>
      <c r="D31" s="54"/>
      <c r="E31" s="54"/>
    </row>
    <row r="32" spans="1:5" x14ac:dyDescent="0.35">
      <c r="A32" s="56"/>
      <c r="B32" s="54"/>
      <c r="C32" s="54"/>
      <c r="D32" s="54"/>
      <c r="E32" s="54"/>
    </row>
    <row r="33" spans="1:5" x14ac:dyDescent="0.35">
      <c r="A33" s="56"/>
      <c r="B33" s="54"/>
      <c r="C33" s="54"/>
      <c r="D33" s="54"/>
      <c r="E33" s="54"/>
    </row>
    <row r="34" spans="1:5" x14ac:dyDescent="0.35">
      <c r="A34" s="56"/>
      <c r="B34" s="54"/>
      <c r="C34" s="54"/>
      <c r="D34" s="54"/>
      <c r="E34" s="54"/>
    </row>
    <row r="35" spans="1:5" x14ac:dyDescent="0.35">
      <c r="A35" s="56"/>
      <c r="B35" s="54"/>
      <c r="C35" s="54"/>
      <c r="D35" s="54"/>
      <c r="E35" s="54"/>
    </row>
    <row r="36" spans="1:5" x14ac:dyDescent="0.35">
      <c r="A36" s="56"/>
      <c r="B36" s="54"/>
      <c r="C36" s="54"/>
      <c r="D36" s="54"/>
      <c r="E36" s="54"/>
    </row>
    <row r="37" spans="1:5" x14ac:dyDescent="0.35">
      <c r="A37" s="56"/>
      <c r="B37" s="54"/>
      <c r="C37" s="54"/>
      <c r="D37" s="54"/>
      <c r="E37" s="54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2"/>
  <sheetViews>
    <sheetView zoomScaleNormal="100" workbookViewId="0">
      <selection activeCell="G9" sqref="G9"/>
    </sheetView>
  </sheetViews>
  <sheetFormatPr defaultRowHeight="14.5" x14ac:dyDescent="0.35"/>
  <cols>
    <col min="1" max="1" width="24.7265625" customWidth="1"/>
    <col min="2" max="5" width="20.7265625" customWidth="1"/>
    <col min="6" max="6" width="14.7265625" customWidth="1"/>
    <col min="7" max="7" width="15.81640625" customWidth="1"/>
    <col min="9" max="9" width="9.1796875" customWidth="1"/>
  </cols>
  <sheetData>
    <row r="1" spans="1:17" ht="21" x14ac:dyDescent="0.35">
      <c r="A1" s="293"/>
      <c r="B1" s="384" t="s">
        <v>57</v>
      </c>
      <c r="C1" s="384"/>
      <c r="D1" s="10"/>
      <c r="E1" s="10"/>
      <c r="F1" s="294"/>
      <c r="G1" s="295"/>
    </row>
    <row r="2" spans="1:17" x14ac:dyDescent="0.35">
      <c r="A2" s="296"/>
      <c r="B2" s="296"/>
      <c r="C2" s="48" t="s">
        <v>22</v>
      </c>
      <c r="D2" s="48"/>
      <c r="E2" s="48"/>
      <c r="F2" s="48">
        <f>SUM(F4:F5)</f>
        <v>772</v>
      </c>
      <c r="G2" s="296"/>
    </row>
    <row r="3" spans="1:17" x14ac:dyDescent="0.35">
      <c r="A3" s="49" t="s">
        <v>35</v>
      </c>
      <c r="B3" s="50" t="s">
        <v>58</v>
      </c>
      <c r="C3" s="50" t="s">
        <v>59</v>
      </c>
      <c r="D3" s="50"/>
      <c r="E3" s="50"/>
      <c r="F3" s="50" t="s">
        <v>55</v>
      </c>
      <c r="G3" s="51" t="s">
        <v>56</v>
      </c>
    </row>
    <row r="4" spans="1:17" ht="29" x14ac:dyDescent="0.35">
      <c r="A4" s="297" t="s">
        <v>178</v>
      </c>
      <c r="B4" s="298" t="s">
        <v>153</v>
      </c>
      <c r="C4" s="299">
        <v>46023</v>
      </c>
      <c r="D4" s="300" t="s">
        <v>176</v>
      </c>
      <c r="E4" s="62" t="s">
        <v>177</v>
      </c>
      <c r="F4" s="62">
        <v>672</v>
      </c>
      <c r="G4" s="301" t="s">
        <v>154</v>
      </c>
    </row>
    <row r="5" spans="1:17" x14ac:dyDescent="0.35">
      <c r="A5" s="302" t="s">
        <v>180</v>
      </c>
      <c r="B5" s="303" t="s">
        <v>155</v>
      </c>
      <c r="C5" s="299">
        <v>46023</v>
      </c>
      <c r="D5" s="301"/>
      <c r="E5" s="301"/>
      <c r="F5" s="62">
        <v>100</v>
      </c>
      <c r="G5" s="301" t="s">
        <v>154</v>
      </c>
    </row>
    <row r="6" spans="1:17" x14ac:dyDescent="0.35">
      <c r="A6" s="122"/>
      <c r="B6" s="122"/>
      <c r="C6" s="122"/>
      <c r="D6" s="122"/>
      <c r="E6" s="122"/>
      <c r="F6" s="122"/>
      <c r="G6" s="122"/>
      <c r="K6" s="52"/>
      <c r="L6" s="53"/>
      <c r="M6" s="267"/>
      <c r="N6" s="268"/>
      <c r="O6" s="55"/>
      <c r="P6" s="55"/>
      <c r="Q6" s="54"/>
    </row>
    <row r="7" spans="1:17" x14ac:dyDescent="0.35">
      <c r="A7" s="122"/>
      <c r="B7" s="122"/>
      <c r="C7" s="122"/>
      <c r="D7" s="122"/>
      <c r="E7" s="122"/>
      <c r="F7" s="122"/>
      <c r="G7" s="122"/>
      <c r="K7" s="52"/>
      <c r="L7" s="53"/>
      <c r="M7" s="267"/>
      <c r="N7" s="268"/>
      <c r="O7" s="55"/>
      <c r="P7" s="55"/>
      <c r="Q7" s="54"/>
    </row>
    <row r="8" spans="1:17" x14ac:dyDescent="0.35">
      <c r="A8" s="122"/>
      <c r="B8" s="122"/>
      <c r="C8" s="122"/>
      <c r="D8" s="122"/>
      <c r="E8" s="122"/>
      <c r="F8" s="122"/>
      <c r="G8" s="122"/>
      <c r="K8" s="52"/>
      <c r="L8" s="53"/>
      <c r="M8" s="267"/>
      <c r="N8" s="268"/>
      <c r="O8" s="55"/>
      <c r="P8" s="55"/>
      <c r="Q8" s="54"/>
    </row>
    <row r="9" spans="1:17" x14ac:dyDescent="0.35">
      <c r="A9" s="122"/>
      <c r="B9" s="122"/>
      <c r="C9" s="122"/>
      <c r="D9" s="122"/>
      <c r="E9" s="122"/>
      <c r="F9" s="122"/>
      <c r="G9" s="122"/>
      <c r="K9" s="56"/>
      <c r="L9" s="57"/>
      <c r="M9" s="267"/>
      <c r="N9" s="54"/>
      <c r="O9" s="54"/>
      <c r="P9" s="55"/>
      <c r="Q9" s="54"/>
    </row>
    <row r="10" spans="1:17" x14ac:dyDescent="0.35">
      <c r="A10" s="122"/>
      <c r="B10" s="122"/>
      <c r="C10" s="122"/>
      <c r="D10" s="122"/>
      <c r="E10" s="122"/>
      <c r="F10" s="122"/>
      <c r="G10" s="122"/>
    </row>
    <row r="11" spans="1:17" x14ac:dyDescent="0.35">
      <c r="A11" s="122"/>
      <c r="B11" s="122"/>
      <c r="C11" s="122"/>
      <c r="D11" s="122"/>
      <c r="E11" s="122"/>
      <c r="F11" s="122" t="s">
        <v>156</v>
      </c>
      <c r="G11" s="122"/>
    </row>
    <row r="12" spans="1:17" x14ac:dyDescent="0.35">
      <c r="A12" s="122"/>
      <c r="B12" s="122"/>
      <c r="C12" s="122"/>
      <c r="D12" s="122"/>
      <c r="E12" s="122"/>
      <c r="F12" s="122"/>
      <c r="G12" s="122"/>
    </row>
    <row r="13" spans="1:17" x14ac:dyDescent="0.35">
      <c r="A13" s="122"/>
      <c r="B13" s="122"/>
      <c r="C13" s="122"/>
      <c r="D13" s="122"/>
      <c r="E13" s="122"/>
      <c r="F13" s="122"/>
      <c r="G13" s="122"/>
    </row>
    <row r="14" spans="1:17" x14ac:dyDescent="0.35">
      <c r="A14" s="122"/>
      <c r="B14" s="122"/>
      <c r="C14" s="122"/>
      <c r="D14" s="122"/>
      <c r="E14" s="122"/>
      <c r="F14" s="122"/>
      <c r="G14" s="122"/>
    </row>
    <row r="15" spans="1:17" x14ac:dyDescent="0.35">
      <c r="A15" s="122"/>
      <c r="B15" s="122"/>
      <c r="C15" s="122"/>
      <c r="D15" s="122"/>
      <c r="E15" s="122"/>
      <c r="F15" s="122"/>
      <c r="G15" s="122"/>
    </row>
    <row r="16" spans="1:17" x14ac:dyDescent="0.35">
      <c r="A16" s="122"/>
      <c r="B16" s="122"/>
      <c r="C16" s="122"/>
      <c r="D16" s="122"/>
      <c r="E16" s="122"/>
      <c r="F16" s="122"/>
      <c r="G16" s="122"/>
    </row>
    <row r="17" spans="1:7" x14ac:dyDescent="0.35">
      <c r="A17" s="122"/>
      <c r="B17" s="122"/>
      <c r="C17" s="122"/>
      <c r="D17" s="122"/>
      <c r="E17" s="122"/>
      <c r="F17" s="122"/>
      <c r="G17" s="122"/>
    </row>
    <row r="18" spans="1:7" x14ac:dyDescent="0.35">
      <c r="A18" s="122"/>
      <c r="B18" s="122"/>
      <c r="C18" s="122"/>
      <c r="D18" s="122"/>
      <c r="E18" s="122"/>
      <c r="F18" s="122"/>
      <c r="G18" s="122"/>
    </row>
    <row r="19" spans="1:7" x14ac:dyDescent="0.35">
      <c r="A19" s="122"/>
      <c r="B19" s="122"/>
      <c r="C19" s="122"/>
      <c r="D19" s="122"/>
      <c r="E19" s="122"/>
      <c r="F19" s="122"/>
      <c r="G19" s="122"/>
    </row>
    <row r="20" spans="1:7" x14ac:dyDescent="0.35">
      <c r="A20" s="122"/>
      <c r="B20" s="122"/>
      <c r="C20" s="122"/>
      <c r="D20" s="122"/>
      <c r="E20" s="122"/>
      <c r="F20" s="122"/>
      <c r="G20" s="122"/>
    </row>
    <row r="21" spans="1:7" x14ac:dyDescent="0.35">
      <c r="A21" s="122"/>
      <c r="B21" s="122"/>
      <c r="C21" s="122"/>
      <c r="D21" s="122"/>
      <c r="E21" s="122"/>
      <c r="F21" s="122"/>
      <c r="G21" s="122"/>
    </row>
    <row r="22" spans="1:7" ht="21" x14ac:dyDescent="0.35">
      <c r="A22" s="293"/>
      <c r="B22" s="384" t="s">
        <v>57</v>
      </c>
      <c r="C22" s="384"/>
      <c r="D22" s="10"/>
      <c r="E22" s="10"/>
      <c r="F22" s="294"/>
      <c r="G22" s="295"/>
    </row>
    <row r="23" spans="1:7" x14ac:dyDescent="0.35">
      <c r="A23" s="296"/>
      <c r="B23" s="296"/>
      <c r="C23" s="48" t="s">
        <v>22</v>
      </c>
      <c r="D23" s="48"/>
      <c r="E23" s="48"/>
      <c r="F23" s="48">
        <f>SUM(F25:F26)</f>
        <v>772</v>
      </c>
      <c r="G23" s="296"/>
    </row>
    <row r="24" spans="1:7" x14ac:dyDescent="0.35">
      <c r="A24" s="49" t="s">
        <v>35</v>
      </c>
      <c r="B24" s="50" t="s">
        <v>58</v>
      </c>
      <c r="C24" s="50" t="s">
        <v>59</v>
      </c>
      <c r="D24" s="50"/>
      <c r="E24" s="50"/>
      <c r="F24" s="50" t="s">
        <v>55</v>
      </c>
      <c r="G24" s="51" t="s">
        <v>56</v>
      </c>
    </row>
    <row r="25" spans="1:7" ht="29" x14ac:dyDescent="0.35">
      <c r="A25" s="297" t="s">
        <v>178</v>
      </c>
      <c r="B25" s="298" t="s">
        <v>153</v>
      </c>
      <c r="C25" s="299">
        <v>46023</v>
      </c>
      <c r="D25" s="300" t="s">
        <v>176</v>
      </c>
      <c r="E25" s="62" t="s">
        <v>177</v>
      </c>
      <c r="F25" s="62">
        <v>672</v>
      </c>
      <c r="G25" s="301" t="s">
        <v>154</v>
      </c>
    </row>
    <row r="26" spans="1:7" x14ac:dyDescent="0.35">
      <c r="A26" s="302" t="s">
        <v>180</v>
      </c>
      <c r="B26" s="303" t="s">
        <v>155</v>
      </c>
      <c r="C26" s="299">
        <v>46023</v>
      </c>
      <c r="D26" s="301"/>
      <c r="E26" s="301"/>
      <c r="F26" s="62">
        <v>100</v>
      </c>
      <c r="G26" s="301" t="s">
        <v>154</v>
      </c>
    </row>
    <row r="27" spans="1:7" x14ac:dyDescent="0.35">
      <c r="A27" s="122"/>
      <c r="B27" s="122"/>
      <c r="C27" s="122"/>
      <c r="D27" s="122"/>
      <c r="E27" s="122"/>
      <c r="F27" s="122"/>
      <c r="G27" s="122"/>
    </row>
    <row r="28" spans="1:7" x14ac:dyDescent="0.35">
      <c r="A28" s="122"/>
      <c r="B28" s="122"/>
      <c r="C28" s="122"/>
      <c r="D28" s="122"/>
      <c r="E28" s="122"/>
      <c r="F28" s="122"/>
      <c r="G28" s="122"/>
    </row>
    <row r="29" spans="1:7" x14ac:dyDescent="0.35">
      <c r="A29" s="122"/>
      <c r="B29" s="122"/>
      <c r="C29" s="122"/>
      <c r="D29" s="122"/>
      <c r="E29" s="122"/>
      <c r="F29" s="122"/>
      <c r="G29" s="122"/>
    </row>
    <row r="30" spans="1:7" x14ac:dyDescent="0.35">
      <c r="A30" s="122"/>
      <c r="B30" s="122"/>
      <c r="C30" s="122"/>
      <c r="D30" s="122"/>
      <c r="E30" s="122"/>
      <c r="F30" s="122"/>
      <c r="G30" s="122"/>
    </row>
    <row r="31" spans="1:7" x14ac:dyDescent="0.35">
      <c r="A31" s="122"/>
      <c r="B31" s="122"/>
      <c r="C31" s="122"/>
      <c r="D31" s="122"/>
      <c r="E31" s="122"/>
      <c r="F31" s="122"/>
      <c r="G31" s="122"/>
    </row>
    <row r="32" spans="1:7" x14ac:dyDescent="0.35">
      <c r="A32" s="122"/>
      <c r="B32" s="122"/>
      <c r="C32" s="122"/>
      <c r="D32" s="122"/>
      <c r="E32" s="122"/>
      <c r="F32" s="122" t="s">
        <v>156</v>
      </c>
      <c r="G32" s="122"/>
    </row>
  </sheetData>
  <mergeCells count="2">
    <mergeCell ref="B1:C1"/>
    <mergeCell ref="B22:C22"/>
  </mergeCells>
  <pageMargins left="0.7" right="0.7" top="0.75" bottom="0.75" header="0.3" footer="0.3"/>
  <pageSetup scale="65" orientation="portrait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4.5" x14ac:dyDescent="0.35"/>
  <cols>
    <col min="1" max="1" width="15" customWidth="1"/>
    <col min="2" max="2" width="16.7265625" customWidth="1"/>
    <col min="3" max="3" width="18" customWidth="1"/>
    <col min="4" max="4" width="16.7265625" customWidth="1"/>
    <col min="5" max="5" width="14.1796875" customWidth="1"/>
    <col min="6" max="6" width="19.453125" customWidth="1"/>
  </cols>
  <sheetData>
    <row r="1" spans="1:6" ht="21" x14ac:dyDescent="0.35">
      <c r="A1" s="385" t="s">
        <v>60</v>
      </c>
      <c r="B1" s="386"/>
      <c r="C1" s="386"/>
      <c r="D1" s="387"/>
      <c r="E1" s="387"/>
      <c r="F1" s="388"/>
    </row>
    <row r="2" spans="1:6" x14ac:dyDescent="0.35">
      <c r="A2" s="58"/>
      <c r="B2" s="58"/>
      <c r="C2" s="58"/>
      <c r="D2" s="59" t="s">
        <v>22</v>
      </c>
      <c r="E2" s="60">
        <f>SUM(E4:E25)</f>
        <v>0</v>
      </c>
      <c r="F2" s="58"/>
    </row>
    <row r="3" spans="1:6" x14ac:dyDescent="0.35">
      <c r="A3" s="61" t="s">
        <v>35</v>
      </c>
      <c r="B3" s="62" t="s">
        <v>54</v>
      </c>
      <c r="C3" s="62" t="s">
        <v>5</v>
      </c>
      <c r="D3" s="62" t="s">
        <v>61</v>
      </c>
      <c r="E3" s="62" t="s">
        <v>55</v>
      </c>
      <c r="F3" s="62" t="s">
        <v>56</v>
      </c>
    </row>
    <row r="4" spans="1:6" x14ac:dyDescent="0.35">
      <c r="A4" s="56"/>
      <c r="B4" s="54"/>
      <c r="C4" s="54"/>
      <c r="D4" s="54"/>
      <c r="E4" s="54"/>
      <c r="F4" s="54"/>
    </row>
    <row r="5" spans="1:6" x14ac:dyDescent="0.35">
      <c r="A5" s="56"/>
      <c r="B5" s="54"/>
      <c r="C5" s="54"/>
      <c r="D5" s="55"/>
      <c r="E5" s="55"/>
      <c r="F5" s="54"/>
    </row>
    <row r="6" spans="1:6" x14ac:dyDescent="0.35">
      <c r="A6" s="56"/>
      <c r="B6" s="54"/>
      <c r="C6" s="54"/>
      <c r="D6" s="54"/>
      <c r="E6" s="54"/>
      <c r="F6" s="54"/>
    </row>
    <row r="7" spans="1:6" x14ac:dyDescent="0.35">
      <c r="A7" s="56"/>
      <c r="B7" s="54"/>
      <c r="C7" s="54"/>
      <c r="D7" s="54"/>
      <c r="E7" s="54"/>
      <c r="F7" s="54"/>
    </row>
    <row r="8" spans="1:6" x14ac:dyDescent="0.35">
      <c r="A8" s="56"/>
      <c r="B8" s="54"/>
      <c r="C8" s="54"/>
      <c r="D8" s="54"/>
      <c r="E8" s="54"/>
      <c r="F8" s="54"/>
    </row>
    <row r="9" spans="1:6" x14ac:dyDescent="0.35">
      <c r="A9" s="56"/>
      <c r="B9" s="54"/>
      <c r="C9" s="54"/>
      <c r="D9" s="54"/>
      <c r="E9" s="54"/>
      <c r="F9" s="54"/>
    </row>
    <row r="10" spans="1:6" x14ac:dyDescent="0.35">
      <c r="A10" s="56"/>
      <c r="B10" s="54"/>
      <c r="C10" s="54"/>
      <c r="D10" s="54"/>
      <c r="E10" s="54"/>
      <c r="F10" s="54"/>
    </row>
    <row r="11" spans="1:6" x14ac:dyDescent="0.35">
      <c r="A11" s="56"/>
      <c r="B11" s="54"/>
      <c r="C11" s="54"/>
      <c r="D11" s="54"/>
      <c r="E11" s="54"/>
      <c r="F11" s="54"/>
    </row>
    <row r="12" spans="1:6" x14ac:dyDescent="0.35">
      <c r="A12" s="56"/>
      <c r="B12" s="54"/>
      <c r="C12" s="54"/>
      <c r="D12" s="54"/>
      <c r="E12" s="54"/>
      <c r="F12" s="54"/>
    </row>
    <row r="13" spans="1:6" x14ac:dyDescent="0.35">
      <c r="A13" s="56"/>
      <c r="B13" s="54"/>
      <c r="C13" s="54"/>
      <c r="D13" s="54"/>
      <c r="E13" s="54"/>
      <c r="F13" s="54"/>
    </row>
    <row r="14" spans="1:6" x14ac:dyDescent="0.35">
      <c r="A14" s="56"/>
      <c r="B14" s="54"/>
      <c r="C14" s="54"/>
      <c r="D14" s="54"/>
      <c r="E14" s="54"/>
      <c r="F14" s="54"/>
    </row>
    <row r="15" spans="1:6" x14ac:dyDescent="0.35">
      <c r="A15" s="56"/>
      <c r="B15" s="54"/>
      <c r="C15" s="54"/>
      <c r="D15" s="54"/>
      <c r="E15" s="54"/>
      <c r="F15" s="54"/>
    </row>
    <row r="16" spans="1:6" x14ac:dyDescent="0.35">
      <c r="A16" s="56"/>
      <c r="B16" s="54"/>
      <c r="C16" s="54"/>
      <c r="D16" s="54"/>
      <c r="E16" s="54"/>
      <c r="F16" s="54"/>
    </row>
    <row r="17" spans="1:6" x14ac:dyDescent="0.35">
      <c r="A17" s="56"/>
      <c r="B17" s="54"/>
      <c r="C17" s="54"/>
      <c r="D17" s="54"/>
      <c r="E17" s="54"/>
      <c r="F17" s="54"/>
    </row>
    <row r="18" spans="1:6" x14ac:dyDescent="0.35">
      <c r="A18" s="56"/>
      <c r="B18" s="54"/>
      <c r="C18" s="54"/>
      <c r="D18" s="54"/>
      <c r="E18" s="54"/>
      <c r="F18" s="54"/>
    </row>
    <row r="19" spans="1:6" x14ac:dyDescent="0.35">
      <c r="A19" s="56"/>
      <c r="B19" s="54"/>
      <c r="C19" s="54"/>
      <c r="D19" s="54"/>
      <c r="E19" s="54"/>
      <c r="F19" s="54"/>
    </row>
    <row r="20" spans="1:6" x14ac:dyDescent="0.35">
      <c r="A20" s="56"/>
      <c r="B20" s="54"/>
      <c r="C20" s="54"/>
      <c r="D20" s="54"/>
      <c r="E20" s="54"/>
      <c r="F20" s="54"/>
    </row>
    <row r="21" spans="1:6" x14ac:dyDescent="0.35">
      <c r="A21" s="56"/>
      <c r="B21" s="54"/>
      <c r="C21" s="54"/>
      <c r="D21" s="54"/>
      <c r="E21" s="54"/>
      <c r="F21" s="54"/>
    </row>
    <row r="22" spans="1:6" x14ac:dyDescent="0.35">
      <c r="A22" s="56"/>
      <c r="B22" s="54"/>
      <c r="C22" s="54"/>
      <c r="D22" s="54"/>
      <c r="E22" s="54"/>
      <c r="F22" s="54"/>
    </row>
    <row r="23" spans="1:6" x14ac:dyDescent="0.35">
      <c r="A23" s="56"/>
      <c r="B23" s="54"/>
      <c r="C23" s="54"/>
      <c r="D23" s="54"/>
      <c r="E23" s="54"/>
      <c r="F23" s="54"/>
    </row>
    <row r="24" spans="1:6" x14ac:dyDescent="0.35">
      <c r="A24" s="56"/>
      <c r="B24" s="54"/>
      <c r="C24" s="54"/>
      <c r="D24" s="54"/>
      <c r="E24" s="54"/>
      <c r="F24" s="54"/>
    </row>
    <row r="25" spans="1:6" x14ac:dyDescent="0.3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4.5" x14ac:dyDescent="0.35"/>
  <cols>
    <col min="1" max="1" width="10.1796875" bestFit="1" customWidth="1"/>
    <col min="2" max="2" width="24.1796875" customWidth="1"/>
    <col min="3" max="3" width="15.7265625" customWidth="1"/>
    <col min="4" max="4" width="11.26953125" style="47" customWidth="1"/>
    <col min="5" max="5" width="11.54296875" style="47" customWidth="1"/>
    <col min="6" max="6" width="16.26953125" customWidth="1"/>
  </cols>
  <sheetData>
    <row r="1" spans="1:6" ht="21" x14ac:dyDescent="0.35">
      <c r="A1" s="63"/>
      <c r="B1" s="389" t="s">
        <v>62</v>
      </c>
      <c r="C1" s="390"/>
      <c r="D1" s="390"/>
      <c r="E1" s="390"/>
      <c r="F1" s="65"/>
    </row>
    <row r="2" spans="1:6" ht="21" x14ac:dyDescent="0.35">
      <c r="A2" s="63"/>
      <c r="B2" s="64"/>
      <c r="C2" s="63"/>
      <c r="D2" s="66" t="s">
        <v>22</v>
      </c>
      <c r="E2" s="67">
        <f>SUM(E4:E23)</f>
        <v>0</v>
      </c>
      <c r="F2" s="65"/>
    </row>
    <row r="3" spans="1:6" x14ac:dyDescent="0.35">
      <c r="A3" s="68" t="s">
        <v>35</v>
      </c>
      <c r="B3" s="69" t="s">
        <v>54</v>
      </c>
      <c r="C3" s="69" t="s">
        <v>5</v>
      </c>
      <c r="D3" s="69" t="s">
        <v>61</v>
      </c>
      <c r="E3" s="69" t="s">
        <v>55</v>
      </c>
      <c r="F3" s="69" t="s">
        <v>56</v>
      </c>
    </row>
    <row r="4" spans="1:6" x14ac:dyDescent="0.35">
      <c r="A4" s="203"/>
      <c r="B4" s="204"/>
      <c r="C4" s="205"/>
      <c r="D4" s="206"/>
      <c r="E4" s="74"/>
      <c r="F4" s="71"/>
    </row>
    <row r="5" spans="1:6" x14ac:dyDescent="0.35">
      <c r="A5" s="203"/>
      <c r="B5" s="204"/>
      <c r="C5" s="208"/>
      <c r="D5" s="209"/>
      <c r="E5" s="74"/>
      <c r="F5" s="71"/>
    </row>
    <row r="6" spans="1:6" x14ac:dyDescent="0.35">
      <c r="A6" s="203"/>
      <c r="F6" s="72"/>
    </row>
    <row r="7" spans="1:6" x14ac:dyDescent="0.35">
      <c r="A7" s="203"/>
      <c r="B7" s="71"/>
      <c r="C7" s="71"/>
      <c r="D7" s="74"/>
      <c r="E7" s="74"/>
      <c r="F7" s="71"/>
    </row>
    <row r="8" spans="1:6" x14ac:dyDescent="0.35">
      <c r="A8" s="100"/>
      <c r="B8" s="100"/>
      <c r="C8" s="100"/>
      <c r="D8" s="211"/>
      <c r="E8" s="211"/>
      <c r="F8" s="100"/>
    </row>
    <row r="9" spans="1:6" x14ac:dyDescent="0.35">
      <c r="A9" s="100"/>
      <c r="B9" s="100"/>
      <c r="C9" s="100"/>
      <c r="D9" s="211"/>
      <c r="E9" s="211"/>
      <c r="F9" s="100"/>
    </row>
    <row r="10" spans="1:6" x14ac:dyDescent="0.35">
      <c r="A10" s="70"/>
      <c r="B10" s="71"/>
      <c r="C10" s="71"/>
      <c r="D10" s="74"/>
      <c r="E10" s="74"/>
      <c r="F10" s="100"/>
    </row>
    <row r="11" spans="1:6" ht="15.5" x14ac:dyDescent="0.35">
      <c r="A11" s="70"/>
      <c r="B11" s="71"/>
      <c r="C11" s="71"/>
      <c r="D11" s="74"/>
      <c r="E11" s="197"/>
      <c r="F11" s="71"/>
    </row>
    <row r="12" spans="1:6" x14ac:dyDescent="0.35">
      <c r="A12" s="70"/>
      <c r="B12" s="71"/>
      <c r="C12" s="71"/>
      <c r="D12" s="74"/>
      <c r="E12" s="74"/>
      <c r="F12" s="71"/>
    </row>
    <row r="13" spans="1:6" x14ac:dyDescent="0.35">
      <c r="A13" s="70"/>
      <c r="B13" s="71"/>
      <c r="C13" s="71"/>
      <c r="D13" s="74"/>
      <c r="E13" s="74"/>
      <c r="F13" s="71"/>
    </row>
    <row r="14" spans="1:6" x14ac:dyDescent="0.35">
      <c r="A14" s="70"/>
      <c r="B14" s="71"/>
      <c r="C14" s="71"/>
      <c r="D14" s="74"/>
      <c r="E14" s="74"/>
      <c r="F14" s="71"/>
    </row>
    <row r="15" spans="1:6" x14ac:dyDescent="0.35">
      <c r="A15" s="70"/>
      <c r="B15" s="71"/>
      <c r="C15" s="71"/>
      <c r="D15" s="74"/>
      <c r="E15" s="74"/>
      <c r="F15" s="71"/>
    </row>
    <row r="16" spans="1:6" x14ac:dyDescent="0.35">
      <c r="A16" s="70"/>
      <c r="B16" s="71"/>
      <c r="C16" s="71"/>
      <c r="D16" s="74"/>
      <c r="E16" s="74"/>
      <c r="F16" s="71"/>
    </row>
    <row r="17" spans="1:6" x14ac:dyDescent="0.35">
      <c r="A17" s="70"/>
      <c r="B17" s="71"/>
      <c r="C17" s="71"/>
      <c r="D17" s="74"/>
      <c r="E17" s="74"/>
      <c r="F17" s="71"/>
    </row>
    <row r="18" spans="1:6" x14ac:dyDescent="0.35">
      <c r="A18" s="70"/>
      <c r="B18" s="71"/>
      <c r="C18" s="71"/>
      <c r="D18" s="74"/>
      <c r="E18" s="74"/>
      <c r="F18" s="71"/>
    </row>
    <row r="19" spans="1:6" x14ac:dyDescent="0.35">
      <c r="A19" s="70"/>
      <c r="B19" s="71"/>
      <c r="C19" s="71"/>
      <c r="D19" s="74"/>
      <c r="E19" s="74"/>
      <c r="F19" s="71"/>
    </row>
    <row r="20" spans="1:6" x14ac:dyDescent="0.35">
      <c r="A20" s="70"/>
      <c r="B20" s="71"/>
      <c r="C20" s="71"/>
      <c r="D20" s="74"/>
      <c r="E20" s="74"/>
      <c r="F20" s="71"/>
    </row>
    <row r="21" spans="1:6" x14ac:dyDescent="0.35">
      <c r="A21" s="70"/>
      <c r="B21" s="71"/>
      <c r="C21" s="71"/>
      <c r="D21" s="74"/>
      <c r="E21" s="74"/>
      <c r="F21" s="71"/>
    </row>
    <row r="22" spans="1:6" x14ac:dyDescent="0.35">
      <c r="A22" s="70"/>
      <c r="B22" s="71"/>
      <c r="C22" s="71"/>
      <c r="D22" s="74"/>
      <c r="E22" s="74"/>
      <c r="F22" s="71"/>
    </row>
    <row r="23" spans="1:6" x14ac:dyDescent="0.35">
      <c r="A23" s="70"/>
      <c r="B23" s="71"/>
      <c r="C23" s="71"/>
      <c r="D23" s="74"/>
      <c r="E23" s="74"/>
      <c r="F23" s="71"/>
    </row>
    <row r="24" spans="1:6" x14ac:dyDescent="0.35">
      <c r="F24" s="71"/>
    </row>
    <row r="25" spans="1:6" x14ac:dyDescent="0.35">
      <c r="F25" s="71"/>
    </row>
    <row r="26" spans="1:6" x14ac:dyDescent="0.35">
      <c r="F26" s="71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4.5" x14ac:dyDescent="0.35"/>
  <cols>
    <col min="2" max="2" width="24.26953125" customWidth="1"/>
    <col min="3" max="3" width="11.26953125" customWidth="1"/>
    <col min="4" max="4" width="13.7265625" customWidth="1"/>
    <col min="5" max="5" width="13.453125" customWidth="1"/>
  </cols>
  <sheetData>
    <row r="1" spans="1:5" ht="15.5" x14ac:dyDescent="0.35">
      <c r="A1" s="391" t="s">
        <v>63</v>
      </c>
      <c r="B1" s="391"/>
      <c r="C1" s="391"/>
      <c r="D1" s="391"/>
      <c r="E1" s="391"/>
    </row>
    <row r="2" spans="1:5" x14ac:dyDescent="0.35">
      <c r="A2" s="75"/>
      <c r="B2" s="75"/>
      <c r="C2" s="76" t="s">
        <v>22</v>
      </c>
      <c r="D2" s="76">
        <f>SUM(D4:D9)</f>
        <v>0</v>
      </c>
      <c r="E2" s="75"/>
    </row>
    <row r="3" spans="1:5" x14ac:dyDescent="0.35">
      <c r="A3" s="77" t="s">
        <v>35</v>
      </c>
      <c r="B3" s="78" t="s">
        <v>64</v>
      </c>
      <c r="C3" s="77" t="s">
        <v>61</v>
      </c>
      <c r="D3" s="77" t="s">
        <v>55</v>
      </c>
      <c r="E3" s="79" t="s">
        <v>56</v>
      </c>
    </row>
    <row r="4" spans="1:5" x14ac:dyDescent="0.35">
      <c r="A4" s="55"/>
      <c r="B4" s="55"/>
      <c r="C4" s="55"/>
      <c r="D4" s="55"/>
      <c r="E4" s="55"/>
    </row>
    <row r="5" spans="1:5" x14ac:dyDescent="0.35">
      <c r="A5" s="55"/>
      <c r="B5" s="55"/>
      <c r="C5" s="55"/>
      <c r="D5" s="55"/>
      <c r="E5" s="55"/>
    </row>
    <row r="6" spans="1:5" x14ac:dyDescent="0.35">
      <c r="A6" s="55"/>
      <c r="B6" s="55"/>
      <c r="C6" s="55"/>
      <c r="D6" s="55"/>
      <c r="E6" s="55"/>
    </row>
    <row r="7" spans="1:5" x14ac:dyDescent="0.35">
      <c r="A7" s="55"/>
      <c r="B7" s="55"/>
      <c r="C7" s="55"/>
      <c r="D7" s="55"/>
      <c r="E7" s="55"/>
    </row>
    <row r="8" spans="1:5" x14ac:dyDescent="0.35">
      <c r="A8" s="55"/>
      <c r="B8" s="55"/>
      <c r="C8" s="55"/>
      <c r="D8" s="55"/>
      <c r="E8" s="55"/>
    </row>
    <row r="9" spans="1:5" x14ac:dyDescent="0.35">
      <c r="A9" s="55"/>
      <c r="B9" s="55"/>
      <c r="C9" s="55"/>
      <c r="D9" s="55"/>
      <c r="E9" s="55"/>
    </row>
    <row r="10" spans="1:5" x14ac:dyDescent="0.35">
      <c r="A10" s="75"/>
      <c r="B10" s="75"/>
      <c r="C10" s="75"/>
      <c r="D10" s="75"/>
      <c r="E10" s="75"/>
    </row>
    <row r="11" spans="1:5" x14ac:dyDescent="0.35">
      <c r="A11" s="75"/>
      <c r="B11" s="75"/>
      <c r="C11" s="75"/>
      <c r="D11" s="75"/>
      <c r="E11" s="75"/>
    </row>
    <row r="12" spans="1:5" ht="15.5" x14ac:dyDescent="0.35">
      <c r="A12" s="391" t="s">
        <v>17</v>
      </c>
      <c r="B12" s="391"/>
      <c r="C12" s="391"/>
      <c r="D12" s="391"/>
      <c r="E12" s="391"/>
    </row>
    <row r="13" spans="1:5" x14ac:dyDescent="0.35">
      <c r="A13" s="75"/>
      <c r="B13" s="75"/>
      <c r="C13" s="76" t="s">
        <v>22</v>
      </c>
      <c r="D13" s="76">
        <f>SUM(D15:D25)</f>
        <v>0</v>
      </c>
      <c r="E13" s="75"/>
    </row>
    <row r="14" spans="1:5" x14ac:dyDescent="0.35">
      <c r="A14" s="77" t="s">
        <v>35</v>
      </c>
      <c r="B14" s="78" t="s">
        <v>64</v>
      </c>
      <c r="C14" s="77" t="s">
        <v>61</v>
      </c>
      <c r="D14" s="77" t="s">
        <v>55</v>
      </c>
      <c r="E14" s="79" t="s">
        <v>56</v>
      </c>
    </row>
    <row r="15" spans="1:5" x14ac:dyDescent="0.35">
      <c r="A15" s="55"/>
      <c r="B15" s="55"/>
      <c r="C15" s="55"/>
      <c r="D15" s="55"/>
      <c r="E15" s="55"/>
    </row>
    <row r="16" spans="1:5" x14ac:dyDescent="0.35">
      <c r="A16" s="55"/>
      <c r="B16" s="55"/>
      <c r="C16" s="55"/>
      <c r="D16" s="55"/>
      <c r="E16" s="55"/>
    </row>
    <row r="17" spans="1:5" x14ac:dyDescent="0.35">
      <c r="A17" s="55"/>
      <c r="B17" s="55"/>
      <c r="C17" s="55"/>
      <c r="D17" s="55"/>
      <c r="E17" s="55"/>
    </row>
    <row r="18" spans="1:5" x14ac:dyDescent="0.35">
      <c r="A18" s="55"/>
      <c r="B18" s="55"/>
      <c r="C18" s="55"/>
      <c r="D18" s="55"/>
      <c r="E18" s="55"/>
    </row>
    <row r="19" spans="1:5" x14ac:dyDescent="0.35">
      <c r="A19" s="55"/>
      <c r="B19" s="55"/>
      <c r="C19" s="55"/>
      <c r="D19" s="55"/>
      <c r="E19" s="55"/>
    </row>
    <row r="20" spans="1:5" x14ac:dyDescent="0.35">
      <c r="A20" s="55"/>
      <c r="B20" s="55"/>
      <c r="C20" s="55"/>
      <c r="D20" s="55"/>
      <c r="E20" s="55"/>
    </row>
    <row r="21" spans="1:5" x14ac:dyDescent="0.35">
      <c r="A21" s="55"/>
      <c r="B21" s="55"/>
      <c r="C21" s="55"/>
      <c r="D21" s="55"/>
      <c r="E21" s="55"/>
    </row>
    <row r="22" spans="1:5" x14ac:dyDescent="0.35">
      <c r="A22" s="54"/>
      <c r="B22" s="54"/>
      <c r="C22" s="54"/>
      <c r="D22" s="54"/>
      <c r="E22" s="54"/>
    </row>
    <row r="23" spans="1:5" x14ac:dyDescent="0.35">
      <c r="A23" s="54"/>
      <c r="B23" s="54"/>
      <c r="C23" s="54"/>
      <c r="D23" s="54"/>
      <c r="E23" s="54"/>
    </row>
    <row r="24" spans="1:5" x14ac:dyDescent="0.35">
      <c r="A24" s="54"/>
      <c r="B24" s="54"/>
      <c r="C24" s="54"/>
      <c r="D24" s="54"/>
      <c r="E24" s="54"/>
    </row>
    <row r="25" spans="1:5" x14ac:dyDescent="0.3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J12" sqref="J12"/>
    </sheetView>
  </sheetViews>
  <sheetFormatPr defaultRowHeight="14.5" x14ac:dyDescent="0.35"/>
  <cols>
    <col min="1" max="1" width="10.1796875" bestFit="1" customWidth="1"/>
    <col min="2" max="2" width="17" customWidth="1"/>
    <col min="3" max="3" width="17.7265625" customWidth="1"/>
    <col min="4" max="4" width="13.81640625" customWidth="1"/>
    <col min="5" max="5" width="14.54296875" customWidth="1"/>
  </cols>
  <sheetData>
    <row r="1" spans="1:5" ht="21" x14ac:dyDescent="0.35">
      <c r="A1" s="392" t="s">
        <v>65</v>
      </c>
      <c r="B1" s="392"/>
      <c r="C1" s="393"/>
      <c r="D1" s="393"/>
      <c r="E1" s="392"/>
    </row>
    <row r="2" spans="1:5" ht="21" x14ac:dyDescent="0.5">
      <c r="A2" s="80"/>
      <c r="B2" s="80"/>
      <c r="C2" s="81" t="s">
        <v>22</v>
      </c>
      <c r="D2" s="81">
        <f>SUM(D4:D16)</f>
        <v>0</v>
      </c>
      <c r="E2" s="80"/>
    </row>
    <row r="3" spans="1:5" x14ac:dyDescent="0.35">
      <c r="A3" s="82" t="s">
        <v>35</v>
      </c>
      <c r="B3" s="83" t="s">
        <v>54</v>
      </c>
      <c r="C3" s="83" t="s">
        <v>5</v>
      </c>
      <c r="D3" s="83" t="s">
        <v>55</v>
      </c>
      <c r="E3" s="83" t="s">
        <v>56</v>
      </c>
    </row>
    <row r="4" spans="1:5" x14ac:dyDescent="0.35">
      <c r="A4" s="70"/>
      <c r="B4" s="73"/>
      <c r="C4" s="74"/>
      <c r="D4" s="74"/>
      <c r="E4" s="71"/>
    </row>
    <row r="5" spans="1:5" x14ac:dyDescent="0.35">
      <c r="A5" s="70"/>
      <c r="B5" s="73"/>
      <c r="C5" s="74"/>
      <c r="D5" s="84"/>
      <c r="E5" s="85"/>
    </row>
    <row r="6" spans="1:5" x14ac:dyDescent="0.35">
      <c r="A6" s="70"/>
      <c r="B6" s="73"/>
      <c r="C6" s="74"/>
      <c r="D6" s="74"/>
      <c r="E6" s="71"/>
    </row>
    <row r="7" spans="1:5" x14ac:dyDescent="0.35">
      <c r="A7" s="70"/>
      <c r="B7" s="71"/>
      <c r="C7" s="71"/>
      <c r="D7" s="74"/>
      <c r="E7" s="71"/>
    </row>
    <row r="8" spans="1:5" x14ac:dyDescent="0.35">
      <c r="A8" s="70"/>
      <c r="B8" s="71"/>
      <c r="C8" s="71"/>
      <c r="D8" s="74"/>
      <c r="E8" s="71"/>
    </row>
    <row r="9" spans="1:5" x14ac:dyDescent="0.35">
      <c r="A9" s="70"/>
      <c r="B9" s="71"/>
      <c r="C9" s="71"/>
      <c r="D9" s="74"/>
      <c r="E9" s="71"/>
    </row>
    <row r="10" spans="1:5" x14ac:dyDescent="0.35">
      <c r="A10" s="70"/>
      <c r="B10" s="71"/>
      <c r="C10" s="71"/>
      <c r="D10" s="74"/>
      <c r="E10" s="71"/>
    </row>
    <row r="11" spans="1:5" x14ac:dyDescent="0.35">
      <c r="A11" s="70"/>
      <c r="B11" s="71"/>
      <c r="C11" s="71"/>
      <c r="D11" s="71"/>
      <c r="E11" s="71"/>
    </row>
    <row r="12" spans="1:5" x14ac:dyDescent="0.35">
      <c r="A12" s="70"/>
      <c r="B12" s="71"/>
      <c r="C12" s="71"/>
      <c r="D12" s="71"/>
      <c r="E12" s="71"/>
    </row>
    <row r="13" spans="1:5" x14ac:dyDescent="0.35">
      <c r="A13" s="70"/>
      <c r="B13" s="71"/>
      <c r="C13" s="71"/>
      <c r="D13" s="71"/>
      <c r="E13" s="71"/>
    </row>
    <row r="14" spans="1:5" x14ac:dyDescent="0.35">
      <c r="A14" s="70"/>
      <c r="B14" s="71"/>
      <c r="C14" s="71"/>
      <c r="D14" s="71"/>
      <c r="E14" s="71"/>
    </row>
    <row r="15" spans="1:5" x14ac:dyDescent="0.35">
      <c r="A15" s="70"/>
      <c r="B15" s="71"/>
      <c r="C15" s="71"/>
      <c r="D15" s="71"/>
      <c r="E15" s="71"/>
    </row>
    <row r="16" spans="1:5" x14ac:dyDescent="0.35">
      <c r="A16" s="70"/>
      <c r="B16" s="71"/>
      <c r="C16" s="71"/>
      <c r="D16" s="71"/>
      <c r="E16" s="7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12" sqref="F12"/>
    </sheetView>
  </sheetViews>
  <sheetFormatPr defaultRowHeight="14.5" x14ac:dyDescent="0.35"/>
  <cols>
    <col min="1" max="1" width="15.54296875" bestFit="1" customWidth="1"/>
    <col min="2" max="2" width="17.26953125" bestFit="1" customWidth="1"/>
    <col min="3" max="3" width="12.54296875" customWidth="1"/>
    <col min="4" max="4" width="13.26953125" customWidth="1"/>
    <col min="5" max="5" width="17.26953125" customWidth="1"/>
  </cols>
  <sheetData>
    <row r="1" spans="1:5" ht="18.5" x14ac:dyDescent="0.35">
      <c r="A1" s="394" t="s">
        <v>19</v>
      </c>
      <c r="B1" s="394"/>
      <c r="C1" s="394"/>
      <c r="D1" s="394"/>
      <c r="E1" s="394"/>
    </row>
    <row r="2" spans="1:5" x14ac:dyDescent="0.35">
      <c r="A2" s="86"/>
      <c r="B2" s="63"/>
      <c r="C2" s="87" t="s">
        <v>22</v>
      </c>
      <c r="D2" s="87">
        <f>SUM(D4:D30)</f>
        <v>0</v>
      </c>
      <c r="E2" s="63"/>
    </row>
    <row r="3" spans="1:5" x14ac:dyDescent="0.35">
      <c r="A3" s="82" t="s">
        <v>66</v>
      </c>
      <c r="B3" s="83" t="s">
        <v>67</v>
      </c>
      <c r="C3" s="83" t="s">
        <v>68</v>
      </c>
      <c r="D3" s="83" t="s">
        <v>55</v>
      </c>
      <c r="E3" s="83" t="s">
        <v>56</v>
      </c>
    </row>
    <row r="4" spans="1:5" x14ac:dyDescent="0.35">
      <c r="A4" s="70"/>
      <c r="B4" s="71"/>
      <c r="C4" s="71"/>
      <c r="D4" s="71"/>
      <c r="E4" s="71"/>
    </row>
    <row r="5" spans="1:5" x14ac:dyDescent="0.35">
      <c r="A5" s="70"/>
      <c r="B5" s="71"/>
      <c r="C5" s="71"/>
      <c r="D5" s="71"/>
      <c r="E5" s="71"/>
    </row>
    <row r="6" spans="1:5" x14ac:dyDescent="0.35">
      <c r="A6" s="70"/>
      <c r="B6" s="71"/>
      <c r="C6" s="71"/>
      <c r="D6" s="71"/>
      <c r="E6" s="71"/>
    </row>
    <row r="7" spans="1:5" x14ac:dyDescent="0.35">
      <c r="A7" s="70"/>
      <c r="B7" s="71"/>
      <c r="C7" s="71"/>
      <c r="D7" s="71"/>
      <c r="E7" s="71"/>
    </row>
    <row r="8" spans="1:5" x14ac:dyDescent="0.35">
      <c r="A8" s="70"/>
      <c r="B8" s="71"/>
      <c r="C8" s="71"/>
      <c r="D8" s="71"/>
      <c r="E8" s="71"/>
    </row>
    <row r="9" spans="1:5" x14ac:dyDescent="0.35">
      <c r="A9" s="70"/>
      <c r="B9" s="71"/>
      <c r="C9" s="71"/>
      <c r="D9" s="71"/>
      <c r="E9" s="71"/>
    </row>
    <row r="10" spans="1:5" x14ac:dyDescent="0.35">
      <c r="A10" s="70"/>
      <c r="B10" s="71"/>
      <c r="C10" s="71"/>
      <c r="D10" s="71"/>
      <c r="E10" s="71"/>
    </row>
    <row r="11" spans="1:5" x14ac:dyDescent="0.35">
      <c r="A11" s="70"/>
      <c r="B11" s="71"/>
      <c r="C11" s="71"/>
      <c r="D11" s="71"/>
      <c r="E11" s="71"/>
    </row>
    <row r="12" spans="1:5" x14ac:dyDescent="0.35">
      <c r="A12" s="70"/>
      <c r="B12" s="71"/>
      <c r="C12" s="71"/>
      <c r="D12" s="71"/>
      <c r="E12" s="71"/>
    </row>
    <row r="13" spans="1:5" x14ac:dyDescent="0.35">
      <c r="A13" s="70"/>
      <c r="B13" s="71"/>
      <c r="C13" s="71"/>
      <c r="D13" s="71"/>
      <c r="E13" s="71"/>
    </row>
    <row r="14" spans="1:5" x14ac:dyDescent="0.35">
      <c r="A14" s="70"/>
      <c r="B14" s="71"/>
      <c r="C14" s="71"/>
      <c r="D14" s="71"/>
      <c r="E14" s="71"/>
    </row>
    <row r="15" spans="1:5" x14ac:dyDescent="0.35">
      <c r="A15" s="70"/>
      <c r="B15" s="71"/>
      <c r="C15" s="71"/>
      <c r="D15" s="71"/>
      <c r="E15" s="71"/>
    </row>
    <row r="16" spans="1:5" x14ac:dyDescent="0.35">
      <c r="A16" s="70"/>
      <c r="B16" s="71"/>
      <c r="C16" s="71"/>
      <c r="D16" s="71"/>
      <c r="E16" s="71"/>
    </row>
    <row r="17" spans="1:5" x14ac:dyDescent="0.35">
      <c r="A17" s="70"/>
      <c r="B17" s="71"/>
      <c r="C17" s="71"/>
      <c r="D17" s="71"/>
      <c r="E17" s="71"/>
    </row>
    <row r="18" spans="1:5" x14ac:dyDescent="0.35">
      <c r="A18" s="70"/>
      <c r="B18" s="71"/>
      <c r="C18" s="71"/>
      <c r="D18" s="71"/>
      <c r="E18" s="71"/>
    </row>
    <row r="19" spans="1:5" x14ac:dyDescent="0.35">
      <c r="A19" s="70"/>
      <c r="B19" s="71"/>
      <c r="C19" s="71"/>
      <c r="D19" s="71"/>
      <c r="E19" s="71"/>
    </row>
    <row r="20" spans="1:5" x14ac:dyDescent="0.35">
      <c r="A20" s="70"/>
      <c r="B20" s="71"/>
      <c r="C20" s="71"/>
      <c r="D20" s="71"/>
      <c r="E20" s="71"/>
    </row>
    <row r="21" spans="1:5" x14ac:dyDescent="0.35">
      <c r="A21" s="70"/>
      <c r="B21" s="71"/>
      <c r="C21" s="71"/>
      <c r="D21" s="71"/>
      <c r="E21" s="71"/>
    </row>
    <row r="22" spans="1:5" x14ac:dyDescent="0.35">
      <c r="A22" s="70"/>
      <c r="B22" s="71"/>
      <c r="C22" s="71"/>
      <c r="D22" s="71"/>
      <c r="E22" s="71"/>
    </row>
    <row r="23" spans="1:5" x14ac:dyDescent="0.35">
      <c r="A23" s="70"/>
      <c r="B23" s="71"/>
      <c r="C23" s="71"/>
      <c r="D23" s="71"/>
      <c r="E23" s="71"/>
    </row>
    <row r="24" spans="1:5" x14ac:dyDescent="0.35">
      <c r="A24" s="70"/>
      <c r="B24" s="71"/>
      <c r="C24" s="71"/>
      <c r="D24" s="71"/>
      <c r="E24" s="71"/>
    </row>
    <row r="25" spans="1:5" x14ac:dyDescent="0.35">
      <c r="A25" s="70"/>
      <c r="B25" s="71"/>
      <c r="C25" s="71"/>
      <c r="D25" s="71"/>
      <c r="E25" s="71"/>
    </row>
    <row r="26" spans="1:5" x14ac:dyDescent="0.35">
      <c r="A26" s="70"/>
      <c r="B26" s="71"/>
      <c r="C26" s="71"/>
      <c r="D26" s="71"/>
      <c r="E26" s="71"/>
    </row>
    <row r="27" spans="1:5" x14ac:dyDescent="0.35">
      <c r="A27" s="70"/>
      <c r="B27" s="71"/>
      <c r="C27" s="71"/>
      <c r="D27" s="71"/>
      <c r="E27" s="71"/>
    </row>
    <row r="28" spans="1:5" x14ac:dyDescent="0.35">
      <c r="A28" s="70"/>
      <c r="B28" s="71"/>
      <c r="C28" s="71"/>
      <c r="D28" s="71"/>
      <c r="E28" s="71"/>
    </row>
    <row r="29" spans="1:5" x14ac:dyDescent="0.35">
      <c r="A29" s="70"/>
      <c r="B29" s="71"/>
      <c r="C29" s="71"/>
      <c r="D29" s="71"/>
      <c r="E29" s="71"/>
    </row>
    <row r="30" spans="1:5" x14ac:dyDescent="0.35">
      <c r="A30" s="70"/>
      <c r="B30" s="71"/>
      <c r="C30" s="71"/>
      <c r="D30" s="71"/>
      <c r="E30" s="71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activeCell="B8" sqref="B8"/>
    </sheetView>
  </sheetViews>
  <sheetFormatPr defaultRowHeight="14.5" x14ac:dyDescent="0.35"/>
  <cols>
    <col min="1" max="1" width="13.81640625" style="47" customWidth="1"/>
    <col min="2" max="2" width="20.81640625" bestFit="1" customWidth="1"/>
    <col min="3" max="3" width="16.1796875" style="112" customWidth="1"/>
    <col min="4" max="4" width="14.54296875" customWidth="1"/>
    <col min="5" max="5" width="22.81640625" customWidth="1"/>
  </cols>
  <sheetData>
    <row r="1" spans="1:5" ht="18.5" x14ac:dyDescent="0.35">
      <c r="A1" s="395" t="s">
        <v>20</v>
      </c>
      <c r="B1" s="395"/>
      <c r="C1" s="395"/>
      <c r="D1" s="395"/>
      <c r="E1" s="395"/>
    </row>
    <row r="2" spans="1:5" x14ac:dyDescent="0.35">
      <c r="A2" s="193"/>
      <c r="B2" s="95"/>
      <c r="C2" s="190" t="s">
        <v>22</v>
      </c>
      <c r="D2" s="89">
        <f>SUM(D4:D36)</f>
        <v>50</v>
      </c>
      <c r="E2" s="62"/>
    </row>
    <row r="3" spans="1:5" x14ac:dyDescent="0.35">
      <c r="A3" s="90" t="s">
        <v>66</v>
      </c>
      <c r="B3" s="91" t="s">
        <v>67</v>
      </c>
      <c r="C3" s="191" t="s">
        <v>5</v>
      </c>
      <c r="D3" s="91" t="s">
        <v>55</v>
      </c>
      <c r="E3" s="91" t="s">
        <v>56</v>
      </c>
    </row>
    <row r="4" spans="1:5" x14ac:dyDescent="0.35">
      <c r="A4" s="70">
        <v>46036</v>
      </c>
      <c r="B4" s="262" t="s">
        <v>191</v>
      </c>
      <c r="C4" s="192" t="s">
        <v>134</v>
      </c>
      <c r="D4" s="74">
        <v>50</v>
      </c>
      <c r="E4" s="93"/>
    </row>
    <row r="5" spans="1:5" x14ac:dyDescent="0.35">
      <c r="A5" s="70"/>
      <c r="B5" s="262"/>
      <c r="C5" s="192"/>
      <c r="D5" s="74"/>
      <c r="E5" s="93"/>
    </row>
    <row r="6" spans="1:5" x14ac:dyDescent="0.35">
      <c r="A6" s="70"/>
      <c r="B6" s="92"/>
      <c r="C6" s="192"/>
      <c r="D6" s="74"/>
      <c r="E6" s="93"/>
    </row>
    <row r="7" spans="1:5" x14ac:dyDescent="0.35">
      <c r="A7" s="70"/>
      <c r="B7" s="92"/>
      <c r="C7" s="192"/>
      <c r="D7" s="74"/>
      <c r="E7" s="93"/>
    </row>
    <row r="8" spans="1:5" x14ac:dyDescent="0.35">
      <c r="A8" s="193"/>
      <c r="B8" s="94"/>
      <c r="C8" s="12"/>
      <c r="D8" s="55"/>
      <c r="E8" s="95"/>
    </row>
    <row r="9" spans="1:5" x14ac:dyDescent="0.35">
      <c r="A9" s="193"/>
      <c r="B9" s="95"/>
      <c r="C9" s="12"/>
      <c r="D9" s="95"/>
      <c r="E9" s="95"/>
    </row>
    <row r="10" spans="1:5" x14ac:dyDescent="0.35">
      <c r="A10" s="193"/>
      <c r="B10" s="95"/>
      <c r="C10" s="12"/>
      <c r="D10" s="95"/>
      <c r="E10" s="95"/>
    </row>
    <row r="11" spans="1:5" x14ac:dyDescent="0.35">
      <c r="A11" s="193"/>
      <c r="B11" s="95"/>
      <c r="C11" s="12"/>
      <c r="D11" s="95"/>
      <c r="E11" s="95"/>
    </row>
    <row r="12" spans="1:5" x14ac:dyDescent="0.35">
      <c r="A12" s="193"/>
      <c r="B12" s="95"/>
      <c r="C12" s="12"/>
      <c r="D12" s="95"/>
      <c r="E12" s="95"/>
    </row>
    <row r="13" spans="1:5" x14ac:dyDescent="0.35">
      <c r="A13" s="193"/>
      <c r="B13" s="95"/>
      <c r="C13" s="12" t="s">
        <v>145</v>
      </c>
      <c r="D13" s="95"/>
      <c r="E13" s="95"/>
    </row>
    <row r="14" spans="1:5" x14ac:dyDescent="0.35">
      <c r="A14" s="193"/>
      <c r="B14" s="95"/>
      <c r="C14" s="12"/>
      <c r="D14" s="95"/>
      <c r="E14" s="95"/>
    </row>
    <row r="15" spans="1:5" x14ac:dyDescent="0.35">
      <c r="A15" s="193"/>
      <c r="B15" s="95"/>
      <c r="C15" s="12"/>
      <c r="D15" s="95"/>
      <c r="E15" s="95"/>
    </row>
    <row r="16" spans="1:5" x14ac:dyDescent="0.35">
      <c r="A16" s="193"/>
      <c r="B16" s="95"/>
      <c r="C16" s="12"/>
      <c r="D16" s="95"/>
      <c r="E16" s="95"/>
    </row>
    <row r="17" spans="1:5" x14ac:dyDescent="0.35">
      <c r="A17" s="193"/>
      <c r="B17" s="95"/>
      <c r="C17" s="12"/>
      <c r="D17" s="95"/>
      <c r="E17" s="95"/>
    </row>
    <row r="18" spans="1:5" x14ac:dyDescent="0.35">
      <c r="A18" s="193"/>
      <c r="B18" s="95"/>
      <c r="C18" s="12"/>
      <c r="D18" s="95"/>
      <c r="E18" s="95"/>
    </row>
    <row r="19" spans="1:5" x14ac:dyDescent="0.35">
      <c r="A19" s="193"/>
      <c r="B19" s="95"/>
      <c r="C19" s="12"/>
      <c r="D19" s="95"/>
      <c r="E19" s="95"/>
    </row>
    <row r="20" spans="1:5" x14ac:dyDescent="0.35">
      <c r="A20" s="193"/>
      <c r="B20" s="95"/>
      <c r="C20" s="12"/>
      <c r="D20" s="95"/>
      <c r="E20" s="95"/>
    </row>
    <row r="21" spans="1:5" x14ac:dyDescent="0.35">
      <c r="A21" s="193"/>
      <c r="B21" s="95"/>
      <c r="C21" s="12"/>
      <c r="D21" s="95"/>
      <c r="E21" s="95"/>
    </row>
    <row r="22" spans="1:5" x14ac:dyDescent="0.35">
      <c r="A22" s="193"/>
      <c r="B22" s="95"/>
      <c r="C22" s="12"/>
      <c r="D22" s="95"/>
      <c r="E22" s="95"/>
    </row>
    <row r="23" spans="1:5" x14ac:dyDescent="0.35">
      <c r="A23" s="193"/>
      <c r="B23" s="95"/>
      <c r="C23" s="12"/>
      <c r="D23" s="95"/>
      <c r="E23" s="95"/>
    </row>
    <row r="24" spans="1:5" x14ac:dyDescent="0.35">
      <c r="A24" s="193"/>
      <c r="B24" s="95"/>
      <c r="C24" s="12"/>
      <c r="D24" s="95"/>
      <c r="E24" s="95"/>
    </row>
    <row r="25" spans="1:5" x14ac:dyDescent="0.35">
      <c r="A25" s="193"/>
      <c r="B25" s="95"/>
      <c r="C25" s="12"/>
      <c r="D25" s="95"/>
      <c r="E25" s="95"/>
    </row>
    <row r="26" spans="1:5" x14ac:dyDescent="0.35">
      <c r="A26" s="193"/>
      <c r="B26" s="95"/>
      <c r="C26" s="12"/>
      <c r="D26" s="95"/>
      <c r="E26" s="95"/>
    </row>
    <row r="27" spans="1:5" x14ac:dyDescent="0.35">
      <c r="A27" s="193"/>
      <c r="B27" s="95"/>
      <c r="C27" s="12"/>
      <c r="D27" s="95"/>
      <c r="E27" s="95"/>
    </row>
    <row r="28" spans="1:5" x14ac:dyDescent="0.35">
      <c r="A28" s="193"/>
      <c r="B28" s="95"/>
      <c r="C28" s="12"/>
      <c r="D28" s="95"/>
      <c r="E28" s="95"/>
    </row>
    <row r="29" spans="1:5" x14ac:dyDescent="0.35">
      <c r="A29" s="193"/>
      <c r="B29" s="95"/>
      <c r="C29" s="12"/>
      <c r="D29" s="95"/>
      <c r="E29" s="95"/>
    </row>
    <row r="30" spans="1:5" x14ac:dyDescent="0.35">
      <c r="A30" s="193"/>
      <c r="B30" s="95"/>
      <c r="C30" s="12"/>
      <c r="D30" s="95"/>
      <c r="E30" s="95"/>
    </row>
    <row r="31" spans="1:5" x14ac:dyDescent="0.35">
      <c r="A31" s="193"/>
      <c r="B31" s="95"/>
      <c r="C31" s="12"/>
      <c r="D31" s="95"/>
      <c r="E31" s="95"/>
    </row>
    <row r="32" spans="1:5" x14ac:dyDescent="0.35">
      <c r="A32" s="193"/>
      <c r="B32" s="95"/>
      <c r="C32" s="12"/>
      <c r="D32" s="95"/>
      <c r="E32" s="95"/>
    </row>
    <row r="33" spans="1:5" x14ac:dyDescent="0.35">
      <c r="A33" s="193"/>
      <c r="B33" s="95"/>
      <c r="C33" s="12"/>
      <c r="D33" s="95"/>
      <c r="E33" s="95"/>
    </row>
    <row r="34" spans="1:5" x14ac:dyDescent="0.35">
      <c r="A34" s="193"/>
      <c r="B34" s="95"/>
      <c r="C34" s="12"/>
      <c r="D34" s="95"/>
      <c r="E34" s="95"/>
    </row>
    <row r="35" spans="1:5" x14ac:dyDescent="0.35">
      <c r="A35" s="193"/>
      <c r="B35" s="95"/>
      <c r="C35" s="12"/>
      <c r="D35" s="95"/>
      <c r="E35" s="95"/>
    </row>
    <row r="36" spans="1:5" x14ac:dyDescent="0.35">
      <c r="A36" s="193"/>
      <c r="B36" s="95"/>
      <c r="C36" s="12"/>
      <c r="D36" s="95"/>
      <c r="E36" s="95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0" sqref="I10"/>
    </sheetView>
  </sheetViews>
  <sheetFormatPr defaultRowHeight="14.5" x14ac:dyDescent="0.35"/>
  <cols>
    <col min="1" max="1" width="13.81640625" customWidth="1"/>
    <col min="2" max="2" width="18.81640625" customWidth="1"/>
    <col min="3" max="3" width="15.453125" customWidth="1"/>
    <col min="4" max="4" width="13.81640625" customWidth="1"/>
    <col min="5" max="5" width="14" customWidth="1"/>
  </cols>
  <sheetData>
    <row r="1" spans="1:5" ht="18.5" x14ac:dyDescent="0.35">
      <c r="A1" s="394" t="s">
        <v>223</v>
      </c>
      <c r="B1" s="394"/>
      <c r="C1" s="394"/>
      <c r="D1" s="394"/>
      <c r="E1" s="394"/>
    </row>
    <row r="2" spans="1:5" x14ac:dyDescent="0.35">
      <c r="A2" s="444"/>
      <c r="B2" s="444"/>
      <c r="C2" s="96" t="s">
        <v>22</v>
      </c>
      <c r="D2" s="96">
        <f>SUM(D4:D30)</f>
        <v>2200</v>
      </c>
      <c r="E2" s="444"/>
    </row>
    <row r="3" spans="1:5" x14ac:dyDescent="0.35">
      <c r="A3" s="97" t="s">
        <v>35</v>
      </c>
      <c r="B3" s="97" t="s">
        <v>67</v>
      </c>
      <c r="C3" s="97" t="s">
        <v>5</v>
      </c>
      <c r="D3" s="97" t="s">
        <v>55</v>
      </c>
      <c r="E3" s="97" t="s">
        <v>56</v>
      </c>
    </row>
    <row r="4" spans="1:5" x14ac:dyDescent="0.35">
      <c r="A4" s="445">
        <v>46387</v>
      </c>
      <c r="B4" s="446" t="s">
        <v>171</v>
      </c>
      <c r="C4" s="446" t="s">
        <v>134</v>
      </c>
      <c r="D4" s="446">
        <v>800</v>
      </c>
      <c r="E4" s="447" t="s">
        <v>224</v>
      </c>
    </row>
    <row r="5" spans="1:5" x14ac:dyDescent="0.35">
      <c r="A5" s="445">
        <v>46387</v>
      </c>
      <c r="B5" s="446" t="s">
        <v>173</v>
      </c>
      <c r="C5" s="446" t="s">
        <v>134</v>
      </c>
      <c r="D5" s="446">
        <v>800</v>
      </c>
      <c r="E5" s="448"/>
    </row>
    <row r="6" spans="1:5" ht="51.5" customHeight="1" x14ac:dyDescent="0.35">
      <c r="A6" s="445">
        <v>46387</v>
      </c>
      <c r="B6" s="446" t="s">
        <v>126</v>
      </c>
      <c r="C6" s="446" t="s">
        <v>134</v>
      </c>
      <c r="D6" s="446">
        <v>300</v>
      </c>
      <c r="E6" s="448"/>
    </row>
    <row r="7" spans="1:5" x14ac:dyDescent="0.35">
      <c r="A7" s="445">
        <v>46387</v>
      </c>
      <c r="B7" s="446" t="s">
        <v>172</v>
      </c>
      <c r="C7" s="446" t="s">
        <v>134</v>
      </c>
      <c r="D7" s="446">
        <v>300</v>
      </c>
      <c r="E7" s="449"/>
    </row>
    <row r="8" spans="1:5" x14ac:dyDescent="0.35">
      <c r="A8" s="445"/>
      <c r="B8" s="446"/>
      <c r="C8" s="446"/>
      <c r="D8" s="446"/>
      <c r="E8" s="446"/>
    </row>
    <row r="9" spans="1:5" x14ac:dyDescent="0.35">
      <c r="A9" s="71"/>
      <c r="B9" s="71"/>
      <c r="C9" s="71"/>
      <c r="D9" s="71"/>
      <c r="E9" s="71"/>
    </row>
    <row r="10" spans="1:5" x14ac:dyDescent="0.35">
      <c r="A10" s="71"/>
      <c r="B10" s="71"/>
      <c r="C10" s="71"/>
      <c r="D10" s="71"/>
      <c r="E10" s="71"/>
    </row>
    <row r="11" spans="1:5" x14ac:dyDescent="0.35">
      <c r="A11" s="71"/>
      <c r="B11" s="71"/>
      <c r="C11" s="71"/>
      <c r="D11" s="71"/>
      <c r="E11" s="71"/>
    </row>
    <row r="12" spans="1:5" x14ac:dyDescent="0.35">
      <c r="A12" s="71"/>
      <c r="B12" s="71"/>
      <c r="C12" s="71"/>
      <c r="D12" s="71"/>
      <c r="E12" s="71"/>
    </row>
    <row r="13" spans="1:5" x14ac:dyDescent="0.35">
      <c r="A13" s="71"/>
      <c r="B13" s="71"/>
      <c r="C13" s="71"/>
      <c r="D13" s="71"/>
      <c r="E13" s="71"/>
    </row>
    <row r="14" spans="1:5" x14ac:dyDescent="0.35">
      <c r="A14" s="71"/>
      <c r="B14" s="71"/>
      <c r="C14" s="71"/>
      <c r="D14" s="71"/>
      <c r="E14" s="71"/>
    </row>
    <row r="15" spans="1:5" x14ac:dyDescent="0.35">
      <c r="A15" s="71"/>
      <c r="B15" s="71"/>
      <c r="C15" s="71"/>
      <c r="D15" s="71"/>
      <c r="E15" s="71"/>
    </row>
    <row r="16" spans="1:5" x14ac:dyDescent="0.35">
      <c r="A16" s="71"/>
      <c r="B16" s="71"/>
      <c r="C16" s="71"/>
      <c r="D16" s="71"/>
      <c r="E16" s="71"/>
    </row>
    <row r="17" spans="1:5" x14ac:dyDescent="0.35">
      <c r="A17" s="71"/>
      <c r="B17" s="71"/>
      <c r="C17" s="71"/>
      <c r="D17" s="71"/>
      <c r="E17" s="71"/>
    </row>
    <row r="18" spans="1:5" x14ac:dyDescent="0.35">
      <c r="A18" s="71"/>
      <c r="B18" s="71"/>
      <c r="C18" s="71"/>
      <c r="D18" s="71"/>
      <c r="E18" s="71"/>
    </row>
    <row r="19" spans="1:5" x14ac:dyDescent="0.35">
      <c r="A19" s="71"/>
      <c r="B19" s="71"/>
      <c r="C19" s="71"/>
      <c r="D19" s="71"/>
      <c r="E19" s="71"/>
    </row>
    <row r="20" spans="1:5" x14ac:dyDescent="0.35">
      <c r="A20" s="71"/>
      <c r="B20" s="71"/>
      <c r="C20" s="71"/>
      <c r="D20" s="71"/>
      <c r="E20" s="71"/>
    </row>
    <row r="21" spans="1:5" x14ac:dyDescent="0.35">
      <c r="A21" s="71"/>
      <c r="B21" s="71"/>
      <c r="C21" s="71"/>
      <c r="D21" s="71"/>
      <c r="E21" s="71"/>
    </row>
    <row r="22" spans="1:5" x14ac:dyDescent="0.35">
      <c r="A22" s="71"/>
      <c r="B22" s="71"/>
      <c r="C22" s="71"/>
      <c r="D22" s="71"/>
      <c r="E22" s="71"/>
    </row>
    <row r="23" spans="1:5" x14ac:dyDescent="0.35">
      <c r="A23" s="71"/>
      <c r="B23" s="71"/>
      <c r="C23" s="71"/>
      <c r="D23" s="71"/>
      <c r="E23" s="71"/>
    </row>
    <row r="24" spans="1:5" x14ac:dyDescent="0.35">
      <c r="A24" s="71"/>
      <c r="B24" s="71"/>
      <c r="C24" s="71"/>
      <c r="D24" s="71"/>
      <c r="E24" s="71"/>
    </row>
    <row r="25" spans="1:5" x14ac:dyDescent="0.35">
      <c r="A25" s="71"/>
      <c r="B25" s="71"/>
      <c r="C25" s="71"/>
      <c r="D25" s="71"/>
      <c r="E25" s="71"/>
    </row>
    <row r="26" spans="1:5" x14ac:dyDescent="0.35">
      <c r="A26" s="71"/>
      <c r="B26" s="71"/>
      <c r="C26" s="71"/>
      <c r="D26" s="71"/>
      <c r="E26" s="71"/>
    </row>
    <row r="27" spans="1:5" x14ac:dyDescent="0.35">
      <c r="A27" s="71"/>
      <c r="B27" s="71"/>
      <c r="C27" s="71"/>
      <c r="D27" s="71"/>
      <c r="E27" s="71"/>
    </row>
    <row r="28" spans="1:5" x14ac:dyDescent="0.35">
      <c r="A28" s="71"/>
      <c r="B28" s="71"/>
      <c r="C28" s="71"/>
      <c r="D28" s="71"/>
      <c r="E28" s="71"/>
    </row>
    <row r="29" spans="1:5" x14ac:dyDescent="0.35">
      <c r="A29" s="71"/>
      <c r="B29" s="71"/>
      <c r="C29" s="71"/>
      <c r="D29" s="71"/>
      <c r="E29" s="71"/>
    </row>
    <row r="30" spans="1:5" x14ac:dyDescent="0.35">
      <c r="A30" s="71"/>
      <c r="B30" s="71"/>
      <c r="C30" s="71"/>
      <c r="D30" s="71"/>
      <c r="E30" s="71"/>
    </row>
  </sheetData>
  <mergeCells count="2">
    <mergeCell ref="A1:E1"/>
    <mergeCell ref="E4:E7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4.5" x14ac:dyDescent="0.35"/>
  <cols>
    <col min="1" max="1" width="3.54296875" customWidth="1"/>
    <col min="2" max="2" width="24.54296875" customWidth="1"/>
    <col min="3" max="19" width="3.7265625" customWidth="1"/>
    <col min="20" max="20" width="5" bestFit="1" customWidth="1"/>
    <col min="21" max="27" width="3.7265625" customWidth="1"/>
    <col min="28" max="28" width="5" bestFit="1" customWidth="1"/>
    <col min="29" max="33" width="3.7265625" customWidth="1"/>
    <col min="34" max="34" width="9.7265625" customWidth="1"/>
  </cols>
  <sheetData>
    <row r="1" spans="1:34" x14ac:dyDescent="0.3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8" t="s">
        <v>70</v>
      </c>
      <c r="X1" s="9"/>
      <c r="Y1" s="9"/>
      <c r="Z1" s="9"/>
      <c r="AA1" s="75"/>
      <c r="AB1" s="75"/>
      <c r="AC1" s="75"/>
      <c r="AD1" s="75"/>
      <c r="AE1" s="75"/>
      <c r="AF1" s="75"/>
      <c r="AG1" s="75"/>
      <c r="AH1" s="75"/>
    </row>
    <row r="2" spans="1:34" x14ac:dyDescent="0.35">
      <c r="A2" s="75"/>
      <c r="B2" s="88" t="s">
        <v>71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</row>
    <row r="3" spans="1:34" x14ac:dyDescent="0.35">
      <c r="A3" s="98"/>
      <c r="B3" s="99" t="s">
        <v>72</v>
      </c>
      <c r="C3" s="99">
        <v>1</v>
      </c>
      <c r="D3" s="99">
        <v>2</v>
      </c>
      <c r="E3" s="99">
        <v>3</v>
      </c>
      <c r="F3" s="99">
        <v>4</v>
      </c>
      <c r="G3" s="99">
        <v>5</v>
      </c>
      <c r="H3" s="99">
        <v>6</v>
      </c>
      <c r="I3" s="99">
        <v>7</v>
      </c>
      <c r="J3" s="99">
        <v>8</v>
      </c>
      <c r="K3" s="99">
        <v>9</v>
      </c>
      <c r="L3" s="99">
        <v>10</v>
      </c>
      <c r="M3" s="99">
        <v>11</v>
      </c>
      <c r="N3" s="99">
        <v>12</v>
      </c>
      <c r="O3" s="99">
        <v>13</v>
      </c>
      <c r="P3" s="99">
        <v>14</v>
      </c>
      <c r="Q3" s="99">
        <v>15</v>
      </c>
      <c r="R3" s="99">
        <v>16</v>
      </c>
      <c r="S3" s="99">
        <v>17</v>
      </c>
      <c r="T3" s="99">
        <v>18</v>
      </c>
      <c r="U3" s="99">
        <v>19</v>
      </c>
      <c r="V3" s="99">
        <v>20</v>
      </c>
      <c r="W3" s="99">
        <v>21</v>
      </c>
      <c r="X3" s="99">
        <v>22</v>
      </c>
      <c r="Y3" s="99">
        <v>23</v>
      </c>
      <c r="Z3" s="99">
        <v>24</v>
      </c>
      <c r="AA3" s="99">
        <v>25</v>
      </c>
      <c r="AB3" s="99">
        <v>26</v>
      </c>
      <c r="AC3" s="99">
        <v>27</v>
      </c>
      <c r="AD3" s="99">
        <v>28</v>
      </c>
      <c r="AE3" s="99">
        <v>29</v>
      </c>
      <c r="AF3" s="99">
        <v>30</v>
      </c>
      <c r="AG3" s="99">
        <v>31</v>
      </c>
      <c r="AH3" s="99" t="s">
        <v>22</v>
      </c>
    </row>
    <row r="4" spans="1:34" x14ac:dyDescent="0.35">
      <c r="A4" s="75"/>
      <c r="B4" s="54" t="s">
        <v>73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35">
      <c r="A5" s="75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35">
      <c r="A6" s="75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35">
      <c r="A7" s="75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35">
      <c r="A8" s="75"/>
      <c r="B8" s="54" t="s">
        <v>74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35">
      <c r="A9" s="75"/>
      <c r="B9" s="54"/>
      <c r="C9" s="100">
        <f>SUM(C4:C8)</f>
        <v>0</v>
      </c>
      <c r="D9" s="100">
        <f t="shared" ref="D9:Q9" si="0">SUM(D4:D8)</f>
        <v>0</v>
      </c>
      <c r="E9" s="100">
        <f t="shared" si="0"/>
        <v>0</v>
      </c>
      <c r="F9" s="100">
        <f t="shared" si="0"/>
        <v>0</v>
      </c>
      <c r="G9" s="100">
        <f t="shared" si="0"/>
        <v>0</v>
      </c>
      <c r="H9" s="100">
        <f t="shared" si="0"/>
        <v>0</v>
      </c>
      <c r="I9" s="100">
        <f t="shared" si="0"/>
        <v>0</v>
      </c>
      <c r="J9" s="100">
        <f t="shared" si="0"/>
        <v>0</v>
      </c>
      <c r="K9" s="100">
        <f t="shared" si="0"/>
        <v>0</v>
      </c>
      <c r="L9" s="100">
        <f t="shared" si="0"/>
        <v>0</v>
      </c>
      <c r="M9" s="100">
        <f t="shared" si="0"/>
        <v>0</v>
      </c>
      <c r="N9" s="100">
        <f t="shared" si="0"/>
        <v>0</v>
      </c>
      <c r="O9" s="100">
        <f t="shared" si="0"/>
        <v>0</v>
      </c>
      <c r="P9" s="100">
        <f t="shared" si="0"/>
        <v>0</v>
      </c>
      <c r="Q9" s="100">
        <f t="shared" si="0"/>
        <v>0</v>
      </c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</row>
    <row r="10" spans="1:34" x14ac:dyDescent="0.35">
      <c r="A10" s="7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4.5" x14ac:dyDescent="0.35"/>
  <cols>
    <col min="2" max="2" width="9.7265625" style="141" bestFit="1" customWidth="1"/>
    <col min="3" max="3" width="22" customWidth="1"/>
    <col min="4" max="4" width="16" customWidth="1"/>
    <col min="5" max="5" width="20.453125" customWidth="1"/>
    <col min="8" max="8" width="13.7265625" customWidth="1"/>
    <col min="9" max="9" width="27.7265625" customWidth="1"/>
    <col min="10" max="10" width="16.26953125" customWidth="1"/>
    <col min="11" max="11" width="16" customWidth="1"/>
  </cols>
  <sheetData>
    <row r="1" spans="1:11" ht="21" x14ac:dyDescent="0.35">
      <c r="A1" s="401" t="s">
        <v>0</v>
      </c>
      <c r="B1" s="402"/>
      <c r="C1" s="402"/>
      <c r="D1" s="402"/>
      <c r="E1" s="403"/>
      <c r="G1" s="401" t="s">
        <v>0</v>
      </c>
      <c r="H1" s="402"/>
      <c r="I1" s="402"/>
      <c r="J1" s="402"/>
      <c r="K1" s="403"/>
    </row>
    <row r="2" spans="1:11" x14ac:dyDescent="0.35">
      <c r="A2" s="371"/>
      <c r="B2" s="361"/>
      <c r="C2" s="361"/>
      <c r="D2" s="361"/>
      <c r="E2" s="372"/>
      <c r="G2" s="371"/>
      <c r="H2" s="361"/>
      <c r="I2" s="361"/>
      <c r="J2" s="361"/>
      <c r="K2" s="372"/>
    </row>
    <row r="3" spans="1:11" ht="15.5" x14ac:dyDescent="0.35">
      <c r="A3" s="396" t="s">
        <v>75</v>
      </c>
      <c r="B3" s="397"/>
      <c r="C3" s="101" t="s">
        <v>113</v>
      </c>
      <c r="D3" s="101"/>
      <c r="E3" s="102"/>
      <c r="G3" s="221" t="s">
        <v>131</v>
      </c>
      <c r="H3" s="101"/>
      <c r="I3" s="101"/>
      <c r="J3" s="101"/>
      <c r="K3" s="102"/>
    </row>
    <row r="4" spans="1:11" x14ac:dyDescent="0.35">
      <c r="A4" s="103"/>
      <c r="E4" s="104"/>
      <c r="G4" s="103"/>
      <c r="K4" s="104"/>
    </row>
    <row r="5" spans="1:11" x14ac:dyDescent="0.35">
      <c r="A5" s="105" t="s">
        <v>76</v>
      </c>
      <c r="B5" s="176" t="s">
        <v>35</v>
      </c>
      <c r="C5" s="106" t="s">
        <v>54</v>
      </c>
      <c r="D5" s="106" t="s">
        <v>61</v>
      </c>
      <c r="E5" s="107" t="s">
        <v>55</v>
      </c>
      <c r="G5" s="105" t="s">
        <v>76</v>
      </c>
      <c r="H5" s="106" t="s">
        <v>35</v>
      </c>
      <c r="I5" s="106" t="s">
        <v>54</v>
      </c>
      <c r="J5" s="106" t="s">
        <v>61</v>
      </c>
      <c r="K5" s="107" t="s">
        <v>55</v>
      </c>
    </row>
    <row r="6" spans="1:11" x14ac:dyDescent="0.35">
      <c r="A6" s="108">
        <v>1</v>
      </c>
      <c r="B6" s="145"/>
      <c r="C6" s="109"/>
      <c r="D6" s="109"/>
      <c r="E6" s="110"/>
      <c r="G6" s="108">
        <v>1</v>
      </c>
      <c r="H6" s="220"/>
      <c r="I6" s="109"/>
      <c r="J6" s="109"/>
      <c r="K6" s="110"/>
    </row>
    <row r="7" spans="1:11" x14ac:dyDescent="0.35">
      <c r="A7" s="108">
        <v>2</v>
      </c>
      <c r="B7" s="145"/>
      <c r="C7" s="109"/>
      <c r="D7" s="109"/>
      <c r="E7" s="110"/>
      <c r="G7" s="108"/>
      <c r="H7" s="109"/>
      <c r="I7" s="109"/>
      <c r="J7" s="109"/>
      <c r="K7" s="110"/>
    </row>
    <row r="8" spans="1:11" ht="15.5" x14ac:dyDescent="0.35">
      <c r="A8" s="108">
        <v>3</v>
      </c>
      <c r="B8" s="145"/>
      <c r="C8" s="109"/>
      <c r="D8" s="109"/>
      <c r="E8" s="110"/>
      <c r="G8" s="404" t="s">
        <v>22</v>
      </c>
      <c r="H8" s="405"/>
      <c r="I8" s="405"/>
      <c r="J8" s="406"/>
      <c r="K8" s="110"/>
    </row>
    <row r="9" spans="1:11" x14ac:dyDescent="0.35">
      <c r="A9" s="108">
        <v>4</v>
      </c>
      <c r="B9" s="145"/>
      <c r="C9" s="109"/>
      <c r="D9" s="109"/>
      <c r="E9" s="110"/>
      <c r="G9" s="103"/>
      <c r="K9" s="104"/>
    </row>
    <row r="10" spans="1:11" x14ac:dyDescent="0.35">
      <c r="A10" s="108">
        <v>5</v>
      </c>
      <c r="B10" s="145"/>
      <c r="C10" s="109"/>
      <c r="D10" s="109"/>
      <c r="E10" s="110"/>
      <c r="G10" s="111"/>
      <c r="H10" s="112"/>
      <c r="I10" s="112"/>
      <c r="J10" s="112"/>
      <c r="K10" s="113"/>
    </row>
    <row r="11" spans="1:11" x14ac:dyDescent="0.35">
      <c r="A11" s="108">
        <v>6</v>
      </c>
      <c r="B11" s="145"/>
      <c r="C11" s="109"/>
      <c r="D11" s="109"/>
      <c r="E11" s="110"/>
      <c r="G11" s="114" t="s">
        <v>77</v>
      </c>
      <c r="H11" s="47"/>
      <c r="I11" s="47" t="s">
        <v>78</v>
      </c>
      <c r="J11" s="47" t="s">
        <v>79</v>
      </c>
      <c r="K11" s="115"/>
    </row>
    <row r="12" spans="1:11" ht="16" thickBot="1" x14ac:dyDescent="0.4">
      <c r="A12" s="404" t="s">
        <v>22</v>
      </c>
      <c r="B12" s="405"/>
      <c r="C12" s="405"/>
      <c r="D12" s="406"/>
      <c r="E12" s="110">
        <f>SUM(E6:E11)</f>
        <v>0</v>
      </c>
      <c r="G12" s="116" t="s">
        <v>29</v>
      </c>
      <c r="H12" s="117"/>
      <c r="I12" s="117" t="s">
        <v>80</v>
      </c>
      <c r="J12" s="117" t="s">
        <v>81</v>
      </c>
      <c r="K12" s="118"/>
    </row>
    <row r="13" spans="1:11" x14ac:dyDescent="0.35">
      <c r="A13" s="103"/>
      <c r="E13" s="104"/>
    </row>
    <row r="14" spans="1:11" ht="15" thickBot="1" x14ac:dyDescent="0.4">
      <c r="A14" s="111"/>
      <c r="B14" s="177"/>
      <c r="C14" s="112"/>
      <c r="D14" s="112"/>
      <c r="E14" s="113"/>
    </row>
    <row r="15" spans="1:11" ht="21" x14ac:dyDescent="0.35">
      <c r="A15" s="114" t="s">
        <v>77</v>
      </c>
      <c r="B15" s="178"/>
      <c r="C15" s="47" t="s">
        <v>78</v>
      </c>
      <c r="D15" s="47" t="s">
        <v>79</v>
      </c>
      <c r="E15" s="115"/>
      <c r="G15" s="401" t="s">
        <v>0</v>
      </c>
      <c r="H15" s="402"/>
      <c r="I15" s="402"/>
      <c r="J15" s="402"/>
      <c r="K15" s="403"/>
    </row>
    <row r="16" spans="1:11" ht="16" thickBot="1" x14ac:dyDescent="0.4">
      <c r="A16" s="116" t="s">
        <v>29</v>
      </c>
      <c r="B16" s="179"/>
      <c r="C16" s="117" t="s">
        <v>80</v>
      </c>
      <c r="D16" s="117" t="s">
        <v>81</v>
      </c>
      <c r="E16" s="118"/>
      <c r="G16" s="371"/>
      <c r="H16" s="361"/>
      <c r="I16" s="361"/>
      <c r="J16" s="361"/>
      <c r="K16" s="372"/>
    </row>
    <row r="17" spans="1:11" ht="15.5" x14ac:dyDescent="0.35">
      <c r="G17" s="396" t="s">
        <v>75</v>
      </c>
      <c r="H17" s="397"/>
      <c r="I17" s="101"/>
      <c r="J17" s="101"/>
      <c r="K17" s="102"/>
    </row>
    <row r="18" spans="1:11" ht="15" thickBot="1" x14ac:dyDescent="0.4">
      <c r="G18" s="103"/>
      <c r="K18" s="104"/>
    </row>
    <row r="19" spans="1:11" ht="21" x14ac:dyDescent="0.35">
      <c r="A19" s="401" t="s">
        <v>0</v>
      </c>
      <c r="B19" s="402"/>
      <c r="C19" s="402"/>
      <c r="D19" s="402"/>
      <c r="E19" s="403"/>
      <c r="G19" s="119" t="s">
        <v>76</v>
      </c>
      <c r="H19" s="48" t="s">
        <v>35</v>
      </c>
      <c r="I19" s="48" t="s">
        <v>54</v>
      </c>
      <c r="J19" s="48" t="s">
        <v>61</v>
      </c>
      <c r="K19" s="120" t="s">
        <v>55</v>
      </c>
    </row>
    <row r="20" spans="1:11" x14ac:dyDescent="0.35">
      <c r="A20" s="371"/>
      <c r="B20" s="361"/>
      <c r="C20" s="361"/>
      <c r="D20" s="361"/>
      <c r="E20" s="372"/>
      <c r="G20" s="108">
        <v>1</v>
      </c>
      <c r="H20" s="109"/>
      <c r="I20" s="109"/>
      <c r="J20" s="109"/>
      <c r="K20" s="110"/>
    </row>
    <row r="21" spans="1:11" ht="15.5" x14ac:dyDescent="0.35">
      <c r="A21" s="396" t="s">
        <v>75</v>
      </c>
      <c r="B21" s="397"/>
      <c r="C21" s="101"/>
      <c r="D21" s="101"/>
      <c r="E21" s="102"/>
      <c r="G21" s="108">
        <v>2</v>
      </c>
      <c r="H21" s="109"/>
      <c r="I21" s="109"/>
      <c r="J21" s="109"/>
      <c r="K21" s="110"/>
    </row>
    <row r="22" spans="1:11" x14ac:dyDescent="0.35">
      <c r="A22" s="103"/>
      <c r="E22" s="104"/>
      <c r="G22" s="108">
        <v>3</v>
      </c>
      <c r="H22" s="109"/>
      <c r="I22" s="109"/>
      <c r="J22" s="109"/>
      <c r="K22" s="110"/>
    </row>
    <row r="23" spans="1:11" x14ac:dyDescent="0.35">
      <c r="A23" s="119" t="s">
        <v>76</v>
      </c>
      <c r="B23" s="180" t="s">
        <v>35</v>
      </c>
      <c r="C23" s="48" t="s">
        <v>54</v>
      </c>
      <c r="D23" s="48" t="s">
        <v>61</v>
      </c>
      <c r="E23" s="120" t="s">
        <v>55</v>
      </c>
      <c r="G23" s="108">
        <v>4</v>
      </c>
      <c r="H23" s="109"/>
      <c r="I23" s="109"/>
      <c r="J23" s="109"/>
      <c r="K23" s="110"/>
    </row>
    <row r="24" spans="1:11" x14ac:dyDescent="0.35">
      <c r="A24" s="108">
        <v>1</v>
      </c>
      <c r="B24" s="145"/>
      <c r="C24" s="109"/>
      <c r="D24" s="109"/>
      <c r="E24" s="110"/>
      <c r="G24" s="108">
        <v>5</v>
      </c>
      <c r="H24" s="109"/>
      <c r="I24" s="109"/>
      <c r="J24" s="109"/>
      <c r="K24" s="110"/>
    </row>
    <row r="25" spans="1:11" x14ac:dyDescent="0.35">
      <c r="A25" s="108">
        <v>2</v>
      </c>
      <c r="B25" s="145"/>
      <c r="C25" s="109"/>
      <c r="D25" s="109"/>
      <c r="E25" s="110"/>
      <c r="G25" s="108">
        <v>6</v>
      </c>
      <c r="H25" s="109"/>
      <c r="I25" s="109"/>
      <c r="J25" s="109"/>
      <c r="K25" s="110"/>
    </row>
    <row r="26" spans="1:11" x14ac:dyDescent="0.35">
      <c r="A26" s="108">
        <v>3</v>
      </c>
      <c r="B26" s="145"/>
      <c r="C26" s="109"/>
      <c r="D26" s="109"/>
      <c r="E26" s="110"/>
      <c r="G26" s="398" t="s">
        <v>22</v>
      </c>
      <c r="H26" s="399"/>
      <c r="I26" s="399"/>
      <c r="J26" s="400"/>
      <c r="K26" s="110"/>
    </row>
    <row r="27" spans="1:11" x14ac:dyDescent="0.35">
      <c r="A27" s="108">
        <v>4</v>
      </c>
      <c r="B27" s="145"/>
      <c r="C27" s="109"/>
      <c r="D27" s="109"/>
      <c r="E27" s="110"/>
      <c r="G27" s="103"/>
      <c r="K27" s="104"/>
    </row>
    <row r="28" spans="1:11" x14ac:dyDescent="0.35">
      <c r="A28" s="108">
        <v>5</v>
      </c>
      <c r="B28" s="145"/>
      <c r="C28" s="109"/>
      <c r="D28" s="109"/>
      <c r="E28" s="110"/>
      <c r="G28" s="103"/>
      <c r="K28" s="104"/>
    </row>
    <row r="29" spans="1:11" x14ac:dyDescent="0.35">
      <c r="A29" s="108">
        <v>6</v>
      </c>
      <c r="B29" s="145"/>
      <c r="C29" s="109"/>
      <c r="D29" s="109"/>
      <c r="E29" s="110"/>
      <c r="G29" s="111"/>
      <c r="H29" s="112"/>
      <c r="I29" s="112"/>
      <c r="J29" s="112"/>
      <c r="K29" s="113"/>
    </row>
    <row r="30" spans="1:11" x14ac:dyDescent="0.35">
      <c r="A30" s="398" t="s">
        <v>22</v>
      </c>
      <c r="B30" s="399"/>
      <c r="C30" s="399"/>
      <c r="D30" s="400"/>
      <c r="E30" s="110"/>
      <c r="G30" s="114" t="s">
        <v>77</v>
      </c>
      <c r="H30" s="47"/>
      <c r="I30" s="47" t="s">
        <v>78</v>
      </c>
      <c r="J30" s="47" t="s">
        <v>79</v>
      </c>
      <c r="K30" s="115"/>
    </row>
    <row r="31" spans="1:11" ht="16" thickBot="1" x14ac:dyDescent="0.4">
      <c r="A31" s="103"/>
      <c r="E31" s="104"/>
      <c r="G31" s="116" t="s">
        <v>29</v>
      </c>
      <c r="H31" s="117"/>
      <c r="I31" s="117" t="s">
        <v>80</v>
      </c>
      <c r="J31" s="117" t="s">
        <v>81</v>
      </c>
      <c r="K31" s="118"/>
    </row>
    <row r="32" spans="1:11" x14ac:dyDescent="0.35">
      <c r="A32" s="103"/>
      <c r="E32" s="104"/>
    </row>
    <row r="33" spans="1:5" x14ac:dyDescent="0.35">
      <c r="A33" s="111"/>
      <c r="B33" s="177"/>
      <c r="C33" s="112"/>
      <c r="D33" s="112"/>
      <c r="E33" s="113"/>
    </row>
    <row r="34" spans="1:5" x14ac:dyDescent="0.35">
      <c r="A34" s="114" t="s">
        <v>77</v>
      </c>
      <c r="B34" s="178"/>
      <c r="C34" s="47" t="s">
        <v>78</v>
      </c>
      <c r="D34" s="47" t="s">
        <v>79</v>
      </c>
      <c r="E34" s="115"/>
    </row>
    <row r="35" spans="1:5" ht="16" thickBot="1" x14ac:dyDescent="0.4">
      <c r="A35" s="116" t="s">
        <v>29</v>
      </c>
      <c r="B35" s="179"/>
      <c r="C35" s="117" t="s">
        <v>80</v>
      </c>
      <c r="D35" s="117" t="s">
        <v>81</v>
      </c>
      <c r="E35" s="118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80"/>
  <sheetViews>
    <sheetView topLeftCell="A41" zoomScaleNormal="100" workbookViewId="0">
      <selection activeCell="A27" sqref="A27:G52"/>
    </sheetView>
  </sheetViews>
  <sheetFormatPr defaultRowHeight="14.5" x14ac:dyDescent="0.35"/>
  <cols>
    <col min="1" max="1" width="7.7265625" customWidth="1"/>
    <col min="2" max="2" width="10.81640625" style="141" customWidth="1"/>
    <col min="3" max="3" width="22.81640625" style="149" customWidth="1"/>
    <col min="4" max="4" width="24.08984375" customWidth="1"/>
    <col min="5" max="5" width="14.90625" style="183" customWidth="1"/>
    <col min="6" max="6" width="16" bestFit="1" customWidth="1"/>
    <col min="9" max="9" width="11.7265625" customWidth="1"/>
    <col min="10" max="10" width="19.54296875" customWidth="1"/>
    <col min="11" max="11" width="18.1796875" bestFit="1" customWidth="1"/>
    <col min="12" max="12" width="8.1796875" bestFit="1" customWidth="1"/>
    <col min="13" max="13" width="16" bestFit="1" customWidth="1"/>
  </cols>
  <sheetData>
    <row r="1" spans="1:13" ht="21" x14ac:dyDescent="0.35">
      <c r="A1" s="360" t="s">
        <v>0</v>
      </c>
      <c r="B1" s="360"/>
      <c r="C1" s="360"/>
      <c r="D1" s="360"/>
      <c r="E1" s="360"/>
      <c r="F1" s="360"/>
      <c r="H1" s="360" t="s">
        <v>0</v>
      </c>
      <c r="I1" s="360"/>
      <c r="J1" s="360"/>
      <c r="K1" s="360"/>
      <c r="L1" s="360"/>
      <c r="M1" s="360"/>
    </row>
    <row r="2" spans="1:13" ht="18.5" x14ac:dyDescent="0.35">
      <c r="A2" s="411"/>
      <c r="B2" s="411"/>
      <c r="C2" s="412" t="s">
        <v>88</v>
      </c>
      <c r="D2" s="412"/>
      <c r="E2" s="412"/>
      <c r="F2" s="137"/>
      <c r="H2" s="411"/>
      <c r="I2" s="411"/>
      <c r="J2" s="412" t="s">
        <v>122</v>
      </c>
      <c r="K2" s="412"/>
      <c r="L2" s="412"/>
      <c r="M2" s="137"/>
    </row>
    <row r="3" spans="1:13" x14ac:dyDescent="0.35">
      <c r="A3" s="106" t="s">
        <v>76</v>
      </c>
      <c r="B3" s="176" t="s">
        <v>35</v>
      </c>
      <c r="C3" s="185" t="s">
        <v>116</v>
      </c>
      <c r="D3" s="106" t="s">
        <v>5</v>
      </c>
      <c r="E3" s="106" t="s">
        <v>55</v>
      </c>
      <c r="F3" s="106" t="s">
        <v>89</v>
      </c>
      <c r="H3" s="106" t="s">
        <v>76</v>
      </c>
      <c r="I3" s="176" t="s">
        <v>35</v>
      </c>
      <c r="J3" s="83" t="s">
        <v>54</v>
      </c>
      <c r="K3" s="106" t="s">
        <v>5</v>
      </c>
      <c r="L3" s="106" t="s">
        <v>55</v>
      </c>
      <c r="M3" s="106" t="s">
        <v>123</v>
      </c>
    </row>
    <row r="4" spans="1:13" ht="18.5" x14ac:dyDescent="0.35">
      <c r="A4" s="133">
        <v>1</v>
      </c>
      <c r="B4" s="176">
        <v>45327</v>
      </c>
      <c r="C4" s="280">
        <v>7791</v>
      </c>
      <c r="D4" s="106" t="s">
        <v>147</v>
      </c>
      <c r="E4" s="106">
        <v>200</v>
      </c>
      <c r="F4" s="106"/>
      <c r="H4" s="133">
        <v>1</v>
      </c>
      <c r="I4" s="198">
        <v>45326</v>
      </c>
      <c r="J4" s="185" t="s">
        <v>135</v>
      </c>
      <c r="K4" s="106" t="s">
        <v>134</v>
      </c>
      <c r="L4" s="106">
        <v>200</v>
      </c>
      <c r="M4" s="106" t="s">
        <v>159</v>
      </c>
    </row>
    <row r="5" spans="1:13" ht="18.5" x14ac:dyDescent="0.35">
      <c r="A5" s="133">
        <v>2</v>
      </c>
      <c r="B5" s="176">
        <v>45328</v>
      </c>
      <c r="C5" s="280">
        <v>7795</v>
      </c>
      <c r="D5" s="106" t="s">
        <v>147</v>
      </c>
      <c r="E5" s="106">
        <v>20</v>
      </c>
      <c r="F5" s="106"/>
      <c r="H5" s="211">
        <v>2</v>
      </c>
      <c r="I5" s="198">
        <v>45327</v>
      </c>
      <c r="J5" s="211" t="s">
        <v>135</v>
      </c>
      <c r="K5" s="211" t="s">
        <v>134</v>
      </c>
      <c r="L5" s="47">
        <v>200</v>
      </c>
      <c r="M5" s="47" t="s">
        <v>159</v>
      </c>
    </row>
    <row r="6" spans="1:13" x14ac:dyDescent="0.35">
      <c r="A6" s="122"/>
      <c r="B6" s="184"/>
      <c r="C6" s="186"/>
      <c r="D6" s="277" t="s">
        <v>22</v>
      </c>
      <c r="E6" s="278">
        <f>SUM(E4:E5)</f>
        <v>220</v>
      </c>
      <c r="F6" s="106"/>
      <c r="H6" s="122"/>
      <c r="I6" s="184"/>
      <c r="J6" s="186"/>
      <c r="K6" s="277" t="s">
        <v>22</v>
      </c>
      <c r="L6" s="48">
        <f>SUM(L4:L5)</f>
        <v>400</v>
      </c>
      <c r="M6" s="106"/>
    </row>
    <row r="7" spans="1:13" x14ac:dyDescent="0.35">
      <c r="I7" s="141"/>
      <c r="J7" s="149"/>
      <c r="L7" s="183"/>
    </row>
    <row r="8" spans="1:13" x14ac:dyDescent="0.35">
      <c r="A8" s="112"/>
      <c r="B8" s="177"/>
      <c r="C8" s="187"/>
      <c r="D8" s="112"/>
      <c r="E8" s="182"/>
      <c r="F8" s="112"/>
      <c r="H8" s="112"/>
      <c r="I8" s="177" t="s">
        <v>127</v>
      </c>
      <c r="J8" s="187"/>
      <c r="K8" s="112"/>
      <c r="L8" s="182"/>
      <c r="M8" s="112"/>
    </row>
    <row r="9" spans="1:13" x14ac:dyDescent="0.35">
      <c r="A9" s="135" t="s">
        <v>77</v>
      </c>
      <c r="B9" s="178"/>
      <c r="C9" s="188"/>
      <c r="D9" s="47" t="s">
        <v>78</v>
      </c>
      <c r="F9" s="47" t="s">
        <v>79</v>
      </c>
      <c r="H9" s="135" t="s">
        <v>77</v>
      </c>
      <c r="I9" s="178"/>
      <c r="J9" s="188"/>
      <c r="K9" s="47" t="s">
        <v>78</v>
      </c>
      <c r="L9" s="183"/>
      <c r="M9" s="47" t="s">
        <v>79</v>
      </c>
    </row>
    <row r="10" spans="1:13" x14ac:dyDescent="0.35">
      <c r="A10" s="136" t="s">
        <v>29</v>
      </c>
      <c r="B10" s="177"/>
      <c r="C10" s="187"/>
      <c r="D10" s="112" t="s">
        <v>80</v>
      </c>
      <c r="F10" s="112" t="s">
        <v>81</v>
      </c>
      <c r="H10" s="136" t="s">
        <v>29</v>
      </c>
      <c r="I10" s="177"/>
      <c r="J10" s="187"/>
      <c r="K10" s="112" t="s">
        <v>80</v>
      </c>
      <c r="L10" s="183"/>
      <c r="M10" s="112" t="s">
        <v>81</v>
      </c>
    </row>
    <row r="11" spans="1:13" x14ac:dyDescent="0.35">
      <c r="I11" s="141"/>
      <c r="J11" s="149"/>
      <c r="L11" s="183"/>
    </row>
    <row r="12" spans="1:13" ht="28.5" x14ac:dyDescent="0.65">
      <c r="A12" s="407"/>
      <c r="B12" s="407"/>
      <c r="C12" s="407"/>
      <c r="D12" s="407"/>
      <c r="E12" s="407"/>
      <c r="F12" s="407"/>
      <c r="G12" s="106"/>
      <c r="H12" s="410" t="s">
        <v>0</v>
      </c>
      <c r="I12" s="410"/>
      <c r="J12" s="410"/>
      <c r="K12" s="410"/>
      <c r="L12" s="410"/>
    </row>
    <row r="13" spans="1:13" ht="21" x14ac:dyDescent="0.35">
      <c r="A13" s="360" t="s">
        <v>0</v>
      </c>
      <c r="B13" s="360"/>
      <c r="C13" s="360"/>
      <c r="D13" s="360"/>
      <c r="E13" s="360"/>
      <c r="F13" s="360"/>
      <c r="J13" t="s">
        <v>69</v>
      </c>
    </row>
    <row r="14" spans="1:13" ht="18.5" x14ac:dyDescent="0.35">
      <c r="A14" s="411"/>
      <c r="B14" s="411"/>
      <c r="C14" s="412" t="s">
        <v>122</v>
      </c>
      <c r="D14" s="412"/>
      <c r="E14" s="412"/>
      <c r="F14" s="137"/>
    </row>
    <row r="15" spans="1:13" x14ac:dyDescent="0.35">
      <c r="A15" s="106" t="s">
        <v>76</v>
      </c>
      <c r="B15" s="176" t="s">
        <v>35</v>
      </c>
      <c r="C15" s="83" t="s">
        <v>54</v>
      </c>
      <c r="D15" s="106" t="s">
        <v>5</v>
      </c>
      <c r="E15" s="106" t="s">
        <v>55</v>
      </c>
      <c r="F15" s="106" t="s">
        <v>123</v>
      </c>
      <c r="H15" s="380" t="s">
        <v>35</v>
      </c>
      <c r="I15" s="382"/>
      <c r="J15" s="100" t="s">
        <v>67</v>
      </c>
      <c r="K15" s="100" t="s">
        <v>130</v>
      </c>
      <c r="L15" s="100" t="s">
        <v>55</v>
      </c>
    </row>
    <row r="16" spans="1:13" ht="28" customHeight="1" x14ac:dyDescent="0.35">
      <c r="A16" s="133">
        <v>1</v>
      </c>
      <c r="B16" s="198">
        <v>45327</v>
      </c>
      <c r="C16" s="185" t="s">
        <v>148</v>
      </c>
      <c r="D16" s="106" t="s">
        <v>134</v>
      </c>
      <c r="E16" s="106">
        <v>200</v>
      </c>
      <c r="F16" s="106" t="s">
        <v>158</v>
      </c>
      <c r="H16" s="408"/>
      <c r="I16" s="409"/>
      <c r="J16" s="100"/>
      <c r="K16" s="100"/>
      <c r="L16" s="100"/>
    </row>
    <row r="17" spans="1:12" x14ac:dyDescent="0.35">
      <c r="B17"/>
      <c r="C17"/>
      <c r="E17"/>
      <c r="L17" s="100"/>
    </row>
    <row r="18" spans="1:12" x14ac:dyDescent="0.35">
      <c r="A18" s="122"/>
      <c r="B18" s="184"/>
      <c r="C18" s="186"/>
      <c r="D18" s="106" t="s">
        <v>22</v>
      </c>
      <c r="E18" s="48">
        <f>SUM(E16:E16)</f>
        <v>200</v>
      </c>
      <c r="F18" s="106"/>
      <c r="K18" s="100" t="s">
        <v>22</v>
      </c>
      <c r="L18" s="100">
        <v>500</v>
      </c>
    </row>
    <row r="20" spans="1:12" x14ac:dyDescent="0.35">
      <c r="A20" s="112"/>
      <c r="B20" s="177" t="s">
        <v>127</v>
      </c>
      <c r="C20" s="187"/>
      <c r="D20" s="112"/>
      <c r="E20" s="182"/>
      <c r="F20" s="112"/>
      <c r="H20" s="135"/>
      <c r="I20" s="178"/>
      <c r="J20" s="47"/>
      <c r="L20" s="47"/>
    </row>
    <row r="21" spans="1:12" x14ac:dyDescent="0.35">
      <c r="A21" s="135" t="s">
        <v>77</v>
      </c>
      <c r="B21" s="178"/>
      <c r="C21" s="188"/>
      <c r="D21" s="47" t="s">
        <v>78</v>
      </c>
      <c r="F21" s="47" t="s">
        <v>79</v>
      </c>
      <c r="H21" s="136"/>
      <c r="I21" s="177"/>
      <c r="J21" s="112"/>
      <c r="L21" s="112"/>
    </row>
    <row r="22" spans="1:12" x14ac:dyDescent="0.35">
      <c r="A22" s="136" t="s">
        <v>29</v>
      </c>
      <c r="B22" s="177"/>
      <c r="C22" s="187"/>
      <c r="D22" s="112" t="s">
        <v>80</v>
      </c>
      <c r="F22" s="112" t="s">
        <v>81</v>
      </c>
      <c r="H22" s="135" t="s">
        <v>77</v>
      </c>
      <c r="I22" s="178"/>
      <c r="J22" s="47" t="s">
        <v>78</v>
      </c>
      <c r="L22" s="47" t="s">
        <v>79</v>
      </c>
    </row>
    <row r="23" spans="1:12" x14ac:dyDescent="0.35">
      <c r="H23" s="136" t="s">
        <v>29</v>
      </c>
      <c r="I23" s="177"/>
      <c r="J23" s="112" t="s">
        <v>80</v>
      </c>
      <c r="L23" s="112" t="s">
        <v>81</v>
      </c>
    </row>
    <row r="26" spans="1:12" ht="15" thickBot="1" x14ac:dyDescent="0.4"/>
    <row r="27" spans="1:12" ht="21" x14ac:dyDescent="0.5">
      <c r="A27" s="450" t="s">
        <v>225</v>
      </c>
      <c r="B27" s="451"/>
      <c r="C27" s="451"/>
      <c r="D27" s="451"/>
      <c r="E27" s="451"/>
      <c r="F27" s="451"/>
      <c r="G27" s="452"/>
    </row>
    <row r="28" spans="1:12" x14ac:dyDescent="0.35">
      <c r="A28" s="453" t="s">
        <v>236</v>
      </c>
      <c r="B28" s="454"/>
      <c r="C28" s="454"/>
      <c r="D28" s="454"/>
      <c r="E28" s="455" t="s">
        <v>226</v>
      </c>
      <c r="F28" s="112">
        <v>150362</v>
      </c>
      <c r="G28" s="164"/>
    </row>
    <row r="29" spans="1:12" x14ac:dyDescent="0.35">
      <c r="A29" s="456" t="s">
        <v>227</v>
      </c>
      <c r="B29" s="457"/>
      <c r="C29" s="457"/>
      <c r="D29" s="457"/>
      <c r="E29" s="455" t="s">
        <v>228</v>
      </c>
      <c r="F29" s="164" t="s">
        <v>229</v>
      </c>
      <c r="G29" s="164"/>
    </row>
    <row r="30" spans="1:12" x14ac:dyDescent="0.35">
      <c r="A30" s="456" t="s">
        <v>230</v>
      </c>
      <c r="B30" s="457"/>
      <c r="C30" s="457"/>
      <c r="D30" s="457"/>
      <c r="E30" s="163"/>
      <c r="F30" s="163"/>
      <c r="G30" s="164"/>
    </row>
    <row r="31" spans="1:12" ht="31" x14ac:dyDescent="0.35">
      <c r="A31" s="458" t="s">
        <v>92</v>
      </c>
      <c r="B31" s="459" t="s">
        <v>35</v>
      </c>
      <c r="C31" s="459" t="s">
        <v>72</v>
      </c>
      <c r="D31" s="459" t="s">
        <v>84</v>
      </c>
      <c r="E31" s="459" t="s">
        <v>85</v>
      </c>
      <c r="F31" s="459" t="s">
        <v>86</v>
      </c>
      <c r="G31" s="460" t="s">
        <v>93</v>
      </c>
    </row>
    <row r="32" spans="1:12" x14ac:dyDescent="0.35">
      <c r="A32" s="108">
        <v>1</v>
      </c>
      <c r="B32" s="109"/>
      <c r="C32" s="109" t="s">
        <v>231</v>
      </c>
      <c r="D32" s="109"/>
      <c r="E32" s="109"/>
      <c r="F32" s="109"/>
      <c r="G32" s="110"/>
    </row>
    <row r="33" spans="1:7" x14ac:dyDescent="0.35">
      <c r="A33" s="108">
        <v>2</v>
      </c>
      <c r="B33" s="109" t="s">
        <v>232</v>
      </c>
      <c r="C33" s="109"/>
      <c r="D33" s="461" t="s">
        <v>233</v>
      </c>
      <c r="E33" s="378"/>
      <c r="F33" s="379"/>
      <c r="G33" s="110">
        <v>800</v>
      </c>
    </row>
    <row r="34" spans="1:7" ht="21" x14ac:dyDescent="0.35">
      <c r="A34" s="421" t="s">
        <v>22</v>
      </c>
      <c r="B34" s="422"/>
      <c r="C34" s="422"/>
      <c r="D34" s="422"/>
      <c r="E34" s="422"/>
      <c r="F34" s="429"/>
      <c r="G34" s="110">
        <f>SUM(G32:G33)</f>
        <v>800</v>
      </c>
    </row>
    <row r="35" spans="1:7" x14ac:dyDescent="0.35">
      <c r="A35" s="154"/>
      <c r="B35"/>
      <c r="C35"/>
      <c r="E35"/>
      <c r="G35" s="104"/>
    </row>
    <row r="36" spans="1:7" x14ac:dyDescent="0.35">
      <c r="A36" s="154"/>
      <c r="B36"/>
      <c r="C36"/>
      <c r="E36"/>
      <c r="G36" s="104"/>
    </row>
    <row r="37" spans="1:7" x14ac:dyDescent="0.35">
      <c r="A37" s="114" t="s">
        <v>234</v>
      </c>
      <c r="B37"/>
      <c r="C37"/>
      <c r="D37" s="47" t="s">
        <v>235</v>
      </c>
      <c r="E37"/>
      <c r="F37" t="s">
        <v>30</v>
      </c>
      <c r="G37" s="104"/>
    </row>
    <row r="38" spans="1:7" ht="15" thickBot="1" x14ac:dyDescent="0.4">
      <c r="A38" s="160"/>
      <c r="B38" s="127"/>
      <c r="C38" s="127"/>
      <c r="D38" s="127"/>
      <c r="E38" s="127"/>
      <c r="F38" s="127"/>
      <c r="G38" s="128"/>
    </row>
    <row r="40" spans="1:7" ht="15" thickBot="1" x14ac:dyDescent="0.4"/>
    <row r="41" spans="1:7" ht="21" x14ac:dyDescent="0.5">
      <c r="A41" s="450" t="s">
        <v>240</v>
      </c>
      <c r="B41" s="451"/>
      <c r="C41" s="451"/>
      <c r="D41" s="451"/>
      <c r="E41" s="451"/>
      <c r="F41" s="451"/>
      <c r="G41" s="452"/>
    </row>
    <row r="42" spans="1:7" x14ac:dyDescent="0.35">
      <c r="A42" s="453" t="s">
        <v>237</v>
      </c>
      <c r="B42" s="454"/>
      <c r="C42" s="454"/>
      <c r="D42" s="454"/>
      <c r="E42" s="455" t="s">
        <v>226</v>
      </c>
      <c r="F42" s="112">
        <v>150421</v>
      </c>
      <c r="G42" s="164"/>
    </row>
    <row r="43" spans="1:7" x14ac:dyDescent="0.35">
      <c r="A43" s="456" t="s">
        <v>227</v>
      </c>
      <c r="B43" s="457"/>
      <c r="C43" s="457"/>
      <c r="D43" s="457"/>
      <c r="E43" s="455" t="s">
        <v>228</v>
      </c>
      <c r="F43" s="164" t="s">
        <v>229</v>
      </c>
      <c r="G43" s="164"/>
    </row>
    <row r="44" spans="1:7" x14ac:dyDescent="0.35">
      <c r="A44" s="456" t="s">
        <v>230</v>
      </c>
      <c r="B44" s="457"/>
      <c r="C44" s="457"/>
      <c r="D44" s="457"/>
      <c r="E44" s="163"/>
      <c r="F44" s="163"/>
      <c r="G44" s="164"/>
    </row>
    <row r="45" spans="1:7" ht="31" x14ac:dyDescent="0.35">
      <c r="A45" s="458" t="s">
        <v>92</v>
      </c>
      <c r="B45" s="459" t="s">
        <v>35</v>
      </c>
      <c r="C45" s="459" t="s">
        <v>72</v>
      </c>
      <c r="D45" s="459" t="s">
        <v>84</v>
      </c>
      <c r="E45" s="459" t="s">
        <v>85</v>
      </c>
      <c r="F45" s="459" t="s">
        <v>86</v>
      </c>
      <c r="G45" s="460" t="s">
        <v>93</v>
      </c>
    </row>
    <row r="46" spans="1:7" x14ac:dyDescent="0.35">
      <c r="A46" s="108">
        <v>1</v>
      </c>
      <c r="B46" s="109"/>
      <c r="C46" s="109" t="s">
        <v>231</v>
      </c>
      <c r="D46" s="109"/>
      <c r="E46" s="109"/>
      <c r="F46" s="109"/>
      <c r="G46" s="110"/>
    </row>
    <row r="47" spans="1:7" x14ac:dyDescent="0.35">
      <c r="A47" s="108">
        <v>2</v>
      </c>
      <c r="B47" s="109" t="s">
        <v>232</v>
      </c>
      <c r="C47" s="109"/>
      <c r="D47" s="461" t="s">
        <v>233</v>
      </c>
      <c r="E47" s="378"/>
      <c r="F47" s="379"/>
      <c r="G47" s="110">
        <v>800</v>
      </c>
    </row>
    <row r="48" spans="1:7" ht="21" x14ac:dyDescent="0.35">
      <c r="A48" s="421" t="s">
        <v>22</v>
      </c>
      <c r="B48" s="422"/>
      <c r="C48" s="422"/>
      <c r="D48" s="422"/>
      <c r="E48" s="422"/>
      <c r="F48" s="429"/>
      <c r="G48" s="110">
        <f>SUM(G46:G47)</f>
        <v>800</v>
      </c>
    </row>
    <row r="49" spans="1:7" x14ac:dyDescent="0.35">
      <c r="A49" s="154"/>
      <c r="B49"/>
      <c r="C49"/>
      <c r="E49"/>
      <c r="G49" s="104"/>
    </row>
    <row r="50" spans="1:7" x14ac:dyDescent="0.35">
      <c r="A50" s="154"/>
      <c r="B50"/>
      <c r="C50"/>
      <c r="E50"/>
      <c r="G50" s="104"/>
    </row>
    <row r="51" spans="1:7" x14ac:dyDescent="0.35">
      <c r="A51" s="114" t="s">
        <v>234</v>
      </c>
      <c r="B51"/>
      <c r="C51"/>
      <c r="D51" s="47" t="s">
        <v>235</v>
      </c>
      <c r="E51"/>
      <c r="F51" t="s">
        <v>30</v>
      </c>
      <c r="G51" s="104"/>
    </row>
    <row r="52" spans="1:7" ht="15" thickBot="1" x14ac:dyDescent="0.4">
      <c r="A52" s="160"/>
      <c r="B52" s="127"/>
      <c r="C52" s="127"/>
      <c r="D52" s="127"/>
      <c r="E52" s="127"/>
      <c r="F52" s="127"/>
      <c r="G52" s="128"/>
    </row>
    <row r="54" spans="1:7" ht="15" thickBot="1" x14ac:dyDescent="0.4"/>
    <row r="55" spans="1:7" ht="21" x14ac:dyDescent="0.5">
      <c r="A55" s="450" t="s">
        <v>240</v>
      </c>
      <c r="B55" s="451"/>
      <c r="C55" s="451"/>
      <c r="D55" s="451"/>
      <c r="E55" s="451"/>
      <c r="F55" s="451"/>
      <c r="G55" s="452"/>
    </row>
    <row r="56" spans="1:7" x14ac:dyDescent="0.35">
      <c r="A56" s="453" t="s">
        <v>238</v>
      </c>
      <c r="B56" s="454"/>
      <c r="C56" s="454"/>
      <c r="D56" s="454"/>
      <c r="E56" s="455" t="s">
        <v>226</v>
      </c>
      <c r="F56" s="112">
        <v>150524</v>
      </c>
      <c r="G56" s="164"/>
    </row>
    <row r="57" spans="1:7" x14ac:dyDescent="0.35">
      <c r="A57" s="456" t="s">
        <v>241</v>
      </c>
      <c r="B57" s="457"/>
      <c r="C57" s="457"/>
      <c r="D57" s="457"/>
      <c r="E57" s="455" t="s">
        <v>228</v>
      </c>
      <c r="F57" s="164" t="s">
        <v>229</v>
      </c>
      <c r="G57" s="164"/>
    </row>
    <row r="58" spans="1:7" x14ac:dyDescent="0.35">
      <c r="A58" s="456" t="s">
        <v>230</v>
      </c>
      <c r="B58" s="457"/>
      <c r="C58" s="457"/>
      <c r="D58" s="457"/>
      <c r="E58" s="163"/>
      <c r="F58" s="163"/>
      <c r="G58" s="164"/>
    </row>
    <row r="59" spans="1:7" ht="31" x14ac:dyDescent="0.35">
      <c r="A59" s="458" t="s">
        <v>92</v>
      </c>
      <c r="B59" s="459" t="s">
        <v>35</v>
      </c>
      <c r="C59" s="459" t="s">
        <v>72</v>
      </c>
      <c r="D59" s="459" t="s">
        <v>84</v>
      </c>
      <c r="E59" s="459" t="s">
        <v>85</v>
      </c>
      <c r="F59" s="459" t="s">
        <v>86</v>
      </c>
      <c r="G59" s="460" t="s">
        <v>93</v>
      </c>
    </row>
    <row r="60" spans="1:7" x14ac:dyDescent="0.35">
      <c r="A60" s="108">
        <v>1</v>
      </c>
      <c r="B60" s="109"/>
      <c r="C60" s="109" t="s">
        <v>231</v>
      </c>
      <c r="D60" s="109"/>
      <c r="E60" s="109"/>
      <c r="F60" s="109"/>
      <c r="G60" s="110"/>
    </row>
    <row r="61" spans="1:7" x14ac:dyDescent="0.35">
      <c r="A61" s="108">
        <v>2</v>
      </c>
      <c r="B61" s="109" t="s">
        <v>232</v>
      </c>
      <c r="C61" s="109"/>
      <c r="D61" s="461" t="s">
        <v>233</v>
      </c>
      <c r="E61" s="378"/>
      <c r="F61" s="379"/>
      <c r="G61" s="110">
        <v>300</v>
      </c>
    </row>
    <row r="62" spans="1:7" ht="21" x14ac:dyDescent="0.35">
      <c r="A62" s="421" t="s">
        <v>22</v>
      </c>
      <c r="B62" s="422"/>
      <c r="C62" s="422"/>
      <c r="D62" s="422"/>
      <c r="E62" s="422"/>
      <c r="F62" s="429"/>
      <c r="G62" s="110">
        <f>SUM(G60:G61)</f>
        <v>300</v>
      </c>
    </row>
    <row r="63" spans="1:7" x14ac:dyDescent="0.35">
      <c r="A63" s="154"/>
      <c r="B63"/>
      <c r="C63"/>
      <c r="E63"/>
      <c r="G63" s="104"/>
    </row>
    <row r="64" spans="1:7" x14ac:dyDescent="0.35">
      <c r="A64" s="154"/>
      <c r="B64"/>
      <c r="C64"/>
      <c r="E64"/>
      <c r="G64" s="104"/>
    </row>
    <row r="65" spans="1:7" x14ac:dyDescent="0.35">
      <c r="A65" s="114" t="s">
        <v>234</v>
      </c>
      <c r="B65"/>
      <c r="C65"/>
      <c r="D65" s="47" t="s">
        <v>235</v>
      </c>
      <c r="E65"/>
      <c r="F65" t="s">
        <v>30</v>
      </c>
      <c r="G65" s="104"/>
    </row>
    <row r="66" spans="1:7" ht="15" thickBot="1" x14ac:dyDescent="0.4">
      <c r="A66" s="160"/>
      <c r="B66" s="127"/>
      <c r="C66" s="127"/>
      <c r="D66" s="127"/>
      <c r="E66" s="127"/>
      <c r="F66" s="127"/>
      <c r="G66" s="128"/>
    </row>
    <row r="68" spans="1:7" ht="15" thickBot="1" x14ac:dyDescent="0.4"/>
    <row r="69" spans="1:7" ht="21" x14ac:dyDescent="0.5">
      <c r="A69" s="450" t="s">
        <v>242</v>
      </c>
      <c r="B69" s="451"/>
      <c r="C69" s="451"/>
      <c r="D69" s="451"/>
      <c r="E69" s="451"/>
      <c r="F69" s="451"/>
      <c r="G69" s="452"/>
    </row>
    <row r="70" spans="1:7" x14ac:dyDescent="0.35">
      <c r="A70" s="453" t="s">
        <v>239</v>
      </c>
      <c r="B70" s="454"/>
      <c r="C70" s="454"/>
      <c r="D70" s="454"/>
      <c r="E70" s="455" t="s">
        <v>226</v>
      </c>
      <c r="F70" s="112">
        <v>150432</v>
      </c>
      <c r="G70" s="164"/>
    </row>
    <row r="71" spans="1:7" x14ac:dyDescent="0.35">
      <c r="A71" s="456" t="s">
        <v>241</v>
      </c>
      <c r="B71" s="457"/>
      <c r="C71" s="457"/>
      <c r="D71" s="457"/>
      <c r="E71" s="455" t="s">
        <v>228</v>
      </c>
      <c r="F71" s="164" t="s">
        <v>229</v>
      </c>
      <c r="G71" s="164"/>
    </row>
    <row r="72" spans="1:7" x14ac:dyDescent="0.35">
      <c r="A72" s="456" t="s">
        <v>230</v>
      </c>
      <c r="B72" s="457"/>
      <c r="C72" s="457"/>
      <c r="D72" s="457"/>
      <c r="E72" s="163"/>
      <c r="F72" s="163"/>
      <c r="G72" s="164"/>
    </row>
    <row r="73" spans="1:7" ht="31" x14ac:dyDescent="0.35">
      <c r="A73" s="458" t="s">
        <v>92</v>
      </c>
      <c r="B73" s="459" t="s">
        <v>35</v>
      </c>
      <c r="C73" s="459" t="s">
        <v>72</v>
      </c>
      <c r="D73" s="459" t="s">
        <v>84</v>
      </c>
      <c r="E73" s="459" t="s">
        <v>85</v>
      </c>
      <c r="F73" s="459" t="s">
        <v>86</v>
      </c>
      <c r="G73" s="460" t="s">
        <v>93</v>
      </c>
    </row>
    <row r="74" spans="1:7" x14ac:dyDescent="0.35">
      <c r="A74" s="108">
        <v>1</v>
      </c>
      <c r="B74" s="109"/>
      <c r="C74" s="109" t="s">
        <v>231</v>
      </c>
      <c r="D74" s="109"/>
      <c r="E74" s="109"/>
      <c r="F74" s="109"/>
      <c r="G74" s="110"/>
    </row>
    <row r="75" spans="1:7" x14ac:dyDescent="0.35">
      <c r="A75" s="108">
        <v>2</v>
      </c>
      <c r="B75" s="109" t="s">
        <v>232</v>
      </c>
      <c r="C75" s="109"/>
      <c r="D75" s="461" t="s">
        <v>233</v>
      </c>
      <c r="E75" s="378"/>
      <c r="F75" s="379"/>
      <c r="G75" s="110">
        <v>300</v>
      </c>
    </row>
    <row r="76" spans="1:7" ht="21" x14ac:dyDescent="0.35">
      <c r="A76" s="421" t="s">
        <v>22</v>
      </c>
      <c r="B76" s="422"/>
      <c r="C76" s="422"/>
      <c r="D76" s="422"/>
      <c r="E76" s="422"/>
      <c r="F76" s="429"/>
      <c r="G76" s="110">
        <f>SUM(G74:G75)</f>
        <v>300</v>
      </c>
    </row>
    <row r="77" spans="1:7" x14ac:dyDescent="0.35">
      <c r="A77" s="154"/>
      <c r="B77"/>
      <c r="C77"/>
      <c r="E77"/>
      <c r="G77" s="104"/>
    </row>
    <row r="78" spans="1:7" x14ac:dyDescent="0.35">
      <c r="A78" s="154"/>
      <c r="B78"/>
      <c r="C78"/>
      <c r="E78"/>
      <c r="G78" s="104"/>
    </row>
    <row r="79" spans="1:7" x14ac:dyDescent="0.35">
      <c r="A79" s="114" t="s">
        <v>234</v>
      </c>
      <c r="B79"/>
      <c r="C79"/>
      <c r="D79" s="47" t="s">
        <v>235</v>
      </c>
      <c r="E79"/>
      <c r="F79" t="s">
        <v>30</v>
      </c>
      <c r="G79" s="104"/>
    </row>
    <row r="80" spans="1:7" ht="15" thickBot="1" x14ac:dyDescent="0.4">
      <c r="A80" s="160"/>
      <c r="B80" s="127"/>
      <c r="C80" s="127"/>
      <c r="D80" s="127"/>
      <c r="E80" s="127"/>
      <c r="F80" s="127"/>
      <c r="G80" s="128"/>
    </row>
  </sheetData>
  <mergeCells count="37">
    <mergeCell ref="D75:F75"/>
    <mergeCell ref="A76:F76"/>
    <mergeCell ref="A62:F62"/>
    <mergeCell ref="A69:G69"/>
    <mergeCell ref="A70:D70"/>
    <mergeCell ref="A71:D71"/>
    <mergeCell ref="A72:D72"/>
    <mergeCell ref="A55:G55"/>
    <mergeCell ref="A56:D56"/>
    <mergeCell ref="A57:D57"/>
    <mergeCell ref="A58:D58"/>
    <mergeCell ref="D61:F61"/>
    <mergeCell ref="A42:D42"/>
    <mergeCell ref="A43:D43"/>
    <mergeCell ref="A44:D44"/>
    <mergeCell ref="D47:F47"/>
    <mergeCell ref="A48:F48"/>
    <mergeCell ref="A29:D29"/>
    <mergeCell ref="A30:D30"/>
    <mergeCell ref="D33:F33"/>
    <mergeCell ref="A34:F34"/>
    <mergeCell ref="A41:G41"/>
    <mergeCell ref="A27:G27"/>
    <mergeCell ref="A28:D28"/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</mergeCells>
  <dataValidations count="2">
    <dataValidation type="list" allowBlank="1" showInputMessage="1" showErrorMessage="1" sqref="F32 F46 F60 F74" xr:uid="{E7AF9207-EF68-4AD5-B5A9-185B95290B3B}">
      <formula1>"Bus,CNG,Riksha,Train,Bot,Motorcycle"</formula1>
    </dataValidation>
    <dataValidation type="list" allowBlank="1" showInputMessage="1" showErrorMessage="1" sqref="C32:C33 C46:C47 C60:C61 C74:C75" xr:uid="{C259CC8F-DFEB-4BF4-BD4E-8A5DFA034EEF}">
      <formula1>"DA,TA"</formula1>
    </dataValidation>
  </dataValidations>
  <pageMargins left="0.7" right="0.7" top="0.75" bottom="0.75" header="0.3" footer="0.3"/>
  <pageSetup scale="86" orientation="portrait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4.5" x14ac:dyDescent="0.35"/>
  <cols>
    <col min="1" max="1" width="8.54296875" customWidth="1"/>
    <col min="2" max="2" width="12.7265625" customWidth="1"/>
    <col min="3" max="3" width="38" customWidth="1"/>
    <col min="4" max="4" width="20" customWidth="1"/>
    <col min="7" max="7" width="13" customWidth="1"/>
    <col min="8" max="8" width="46.26953125" customWidth="1"/>
    <col min="9" max="9" width="18" customWidth="1"/>
  </cols>
  <sheetData>
    <row r="1" spans="1:9" ht="23.5" x14ac:dyDescent="0.55000000000000004">
      <c r="A1" s="423" t="s">
        <v>90</v>
      </c>
      <c r="B1" s="424"/>
      <c r="C1" s="424"/>
      <c r="D1" s="425"/>
      <c r="F1" s="415" t="s">
        <v>105</v>
      </c>
      <c r="G1" s="416"/>
      <c r="H1" s="416"/>
      <c r="I1" s="417"/>
    </row>
    <row r="2" spans="1:9" ht="18.5" x14ac:dyDescent="0.45">
      <c r="A2" s="426" t="s">
        <v>91</v>
      </c>
      <c r="B2" s="419"/>
      <c r="C2" s="419"/>
      <c r="D2" s="427"/>
      <c r="F2" s="418" t="s">
        <v>91</v>
      </c>
      <c r="G2" s="419"/>
      <c r="H2" s="419"/>
      <c r="I2" s="420"/>
    </row>
    <row r="3" spans="1:9" x14ac:dyDescent="0.35">
      <c r="A3" s="140"/>
      <c r="B3" s="141"/>
      <c r="D3" s="142"/>
      <c r="F3" s="154"/>
      <c r="I3" s="104"/>
    </row>
    <row r="4" spans="1:9" x14ac:dyDescent="0.35">
      <c r="A4" s="143" t="s">
        <v>92</v>
      </c>
      <c r="B4" s="144" t="s">
        <v>35</v>
      </c>
      <c r="C4" s="143" t="s">
        <v>54</v>
      </c>
      <c r="D4" s="143" t="s">
        <v>93</v>
      </c>
      <c r="F4" s="162"/>
      <c r="G4" s="163"/>
      <c r="H4" s="163"/>
      <c r="I4" s="164"/>
    </row>
    <row r="5" spans="1:9" x14ac:dyDescent="0.35">
      <c r="A5" s="109">
        <v>1</v>
      </c>
      <c r="B5" s="145"/>
      <c r="C5" s="146"/>
      <c r="D5" s="109"/>
      <c r="F5" s="154"/>
      <c r="I5" s="104"/>
    </row>
    <row r="6" spans="1:9" x14ac:dyDescent="0.35">
      <c r="A6" s="109">
        <v>2</v>
      </c>
      <c r="B6" s="145"/>
      <c r="C6" s="146"/>
      <c r="D6" s="109"/>
      <c r="F6" s="155" t="s">
        <v>92</v>
      </c>
      <c r="G6" s="143" t="s">
        <v>35</v>
      </c>
      <c r="H6" s="143" t="s">
        <v>54</v>
      </c>
      <c r="I6" s="156" t="s">
        <v>93</v>
      </c>
    </row>
    <row r="7" spans="1:9" x14ac:dyDescent="0.35">
      <c r="A7" s="109">
        <v>3</v>
      </c>
      <c r="B7" s="145"/>
      <c r="C7" s="146"/>
      <c r="D7" s="109"/>
      <c r="F7" s="108">
        <v>1</v>
      </c>
      <c r="G7" s="145"/>
      <c r="H7" s="165"/>
      <c r="I7" s="110"/>
    </row>
    <row r="8" spans="1:9" x14ac:dyDescent="0.35">
      <c r="A8" s="109">
        <v>4</v>
      </c>
      <c r="B8" s="145"/>
      <c r="C8" s="109"/>
      <c r="D8" s="109"/>
      <c r="F8" s="108">
        <v>2</v>
      </c>
      <c r="G8" s="109"/>
      <c r="H8" s="109"/>
      <c r="I8" s="110"/>
    </row>
    <row r="9" spans="1:9" x14ac:dyDescent="0.35">
      <c r="A9" s="109">
        <v>5</v>
      </c>
      <c r="B9" s="145"/>
      <c r="C9" s="109"/>
      <c r="D9" s="109"/>
      <c r="F9" s="108">
        <v>3</v>
      </c>
      <c r="G9" s="109"/>
      <c r="H9" s="109"/>
      <c r="I9" s="110"/>
    </row>
    <row r="10" spans="1:9" x14ac:dyDescent="0.35">
      <c r="A10" s="109">
        <v>5</v>
      </c>
      <c r="B10" s="145"/>
      <c r="C10" s="109"/>
      <c r="D10" s="109"/>
      <c r="F10" s="108">
        <v>4</v>
      </c>
      <c r="G10" s="109"/>
      <c r="H10" s="109"/>
      <c r="I10" s="110"/>
    </row>
    <row r="11" spans="1:9" x14ac:dyDescent="0.35">
      <c r="A11" s="109">
        <v>6</v>
      </c>
      <c r="B11" s="145"/>
      <c r="C11" s="109"/>
      <c r="D11" s="109"/>
      <c r="F11" s="108">
        <v>5</v>
      </c>
      <c r="G11" s="109"/>
      <c r="H11" s="109"/>
      <c r="I11" s="110"/>
    </row>
    <row r="12" spans="1:9" ht="21" x14ac:dyDescent="0.35">
      <c r="A12" s="109">
        <v>7</v>
      </c>
      <c r="B12" s="145"/>
      <c r="C12" s="109"/>
      <c r="D12" s="109"/>
      <c r="F12" s="421" t="s">
        <v>22</v>
      </c>
      <c r="G12" s="422"/>
      <c r="H12" s="422"/>
      <c r="I12" s="110"/>
    </row>
    <row r="13" spans="1:9" ht="21" x14ac:dyDescent="0.35">
      <c r="A13" s="428" t="s">
        <v>22</v>
      </c>
      <c r="B13" s="422"/>
      <c r="C13" s="422"/>
      <c r="D13" s="109">
        <f>SUM(D5:D12)</f>
        <v>0</v>
      </c>
      <c r="F13" s="154"/>
      <c r="I13" s="104"/>
    </row>
    <row r="14" spans="1:9" x14ac:dyDescent="0.35">
      <c r="A14" s="140"/>
      <c r="B14" s="141"/>
      <c r="D14" s="142"/>
      <c r="F14" s="154"/>
      <c r="I14" s="104"/>
    </row>
    <row r="15" spans="1:9" x14ac:dyDescent="0.35">
      <c r="A15" s="140"/>
      <c r="B15" s="147" t="s">
        <v>94</v>
      </c>
      <c r="C15" t="s">
        <v>95</v>
      </c>
      <c r="D15" s="142"/>
      <c r="F15" s="114"/>
      <c r="I15" s="104"/>
    </row>
    <row r="16" spans="1:9" x14ac:dyDescent="0.35">
      <c r="A16" s="148" t="s">
        <v>96</v>
      </c>
      <c r="B16" s="141" t="s">
        <v>97</v>
      </c>
      <c r="D16" s="142"/>
      <c r="F16" s="154"/>
      <c r="I16" s="104"/>
    </row>
    <row r="17" spans="1:9" x14ac:dyDescent="0.35">
      <c r="A17" s="140" t="s">
        <v>98</v>
      </c>
      <c r="B17" s="149" t="s">
        <v>99</v>
      </c>
      <c r="D17" s="142"/>
      <c r="F17" s="154"/>
      <c r="I17" s="104"/>
    </row>
    <row r="18" spans="1:9" x14ac:dyDescent="0.35">
      <c r="A18" s="140"/>
      <c r="B18" s="141"/>
      <c r="D18" s="142"/>
      <c r="F18" s="114" t="s">
        <v>106</v>
      </c>
      <c r="H18" t="s">
        <v>107</v>
      </c>
      <c r="I18" s="104"/>
    </row>
    <row r="19" spans="1:9" x14ac:dyDescent="0.35">
      <c r="A19" s="140"/>
      <c r="B19" s="141"/>
      <c r="D19" s="142"/>
      <c r="F19" s="154"/>
      <c r="I19" s="104"/>
    </row>
    <row r="20" spans="1:9" x14ac:dyDescent="0.35">
      <c r="A20" s="148" t="s">
        <v>100</v>
      </c>
      <c r="B20" s="135"/>
      <c r="C20" s="47" t="s">
        <v>30</v>
      </c>
      <c r="D20" s="142"/>
      <c r="F20" s="154"/>
      <c r="I20" s="104"/>
    </row>
    <row r="21" spans="1:9" x14ac:dyDescent="0.35">
      <c r="A21" s="150"/>
      <c r="B21" s="151"/>
      <c r="C21" s="152"/>
      <c r="D21" s="153"/>
      <c r="F21" s="154"/>
      <c r="I21" s="104"/>
    </row>
    <row r="22" spans="1:9" ht="15" thickBot="1" x14ac:dyDescent="0.4">
      <c r="A22" s="47"/>
      <c r="B22" s="141"/>
      <c r="F22" s="114" t="s">
        <v>100</v>
      </c>
      <c r="H22" s="47" t="s">
        <v>30</v>
      </c>
      <c r="I22" s="104"/>
    </row>
    <row r="23" spans="1:9" ht="24" thickBot="1" x14ac:dyDescent="0.6">
      <c r="A23" s="415" t="s">
        <v>90</v>
      </c>
      <c r="B23" s="416"/>
      <c r="C23" s="416"/>
      <c r="D23" s="417"/>
      <c r="F23" s="160"/>
      <c r="G23" s="127"/>
      <c r="H23" s="127"/>
      <c r="I23" s="128"/>
    </row>
    <row r="24" spans="1:9" ht="18.5" x14ac:dyDescent="0.45">
      <c r="A24" s="418" t="s">
        <v>91</v>
      </c>
      <c r="B24" s="419"/>
      <c r="C24" s="419"/>
      <c r="D24" s="420"/>
    </row>
    <row r="25" spans="1:9" x14ac:dyDescent="0.35">
      <c r="A25" s="154"/>
      <c r="B25" s="141"/>
      <c r="D25" s="104"/>
    </row>
    <row r="26" spans="1:9" x14ac:dyDescent="0.35">
      <c r="A26" s="155" t="s">
        <v>92</v>
      </c>
      <c r="B26" s="144" t="s">
        <v>35</v>
      </c>
      <c r="C26" s="143" t="s">
        <v>54</v>
      </c>
      <c r="D26" s="156" t="s">
        <v>93</v>
      </c>
    </row>
    <row r="27" spans="1:9" x14ac:dyDescent="0.35">
      <c r="A27" s="108">
        <v>1</v>
      </c>
      <c r="B27" s="145">
        <v>44927</v>
      </c>
      <c r="C27" s="157" t="s">
        <v>101</v>
      </c>
      <c r="D27" s="110">
        <v>200</v>
      </c>
    </row>
    <row r="28" spans="1:9" x14ac:dyDescent="0.35">
      <c r="A28" s="108">
        <v>2</v>
      </c>
      <c r="B28" s="145"/>
      <c r="C28" s="158"/>
      <c r="D28" s="110"/>
    </row>
    <row r="29" spans="1:9" x14ac:dyDescent="0.35">
      <c r="A29" s="108">
        <v>3</v>
      </c>
      <c r="B29" s="145"/>
      <c r="C29" s="158"/>
      <c r="D29" s="110"/>
    </row>
    <row r="30" spans="1:9" x14ac:dyDescent="0.35">
      <c r="A30" s="108">
        <v>4</v>
      </c>
      <c r="B30" s="145"/>
      <c r="C30" s="158"/>
      <c r="D30" s="110"/>
    </row>
    <row r="31" spans="1:9" x14ac:dyDescent="0.35">
      <c r="A31" s="108">
        <v>5</v>
      </c>
      <c r="B31" s="145"/>
      <c r="C31" s="109"/>
      <c r="D31" s="110"/>
    </row>
    <row r="32" spans="1:9" x14ac:dyDescent="0.35">
      <c r="A32" s="108">
        <v>6</v>
      </c>
      <c r="B32" s="145"/>
      <c r="C32" s="109"/>
      <c r="D32" s="110"/>
    </row>
    <row r="33" spans="1:4" x14ac:dyDescent="0.35">
      <c r="A33" s="108">
        <v>7</v>
      </c>
      <c r="B33" s="145"/>
      <c r="C33" s="109"/>
      <c r="D33" s="110"/>
    </row>
    <row r="34" spans="1:4" ht="21" x14ac:dyDescent="0.35">
      <c r="A34" s="421" t="s">
        <v>22</v>
      </c>
      <c r="B34" s="422"/>
      <c r="C34" s="422"/>
      <c r="D34" s="110">
        <f>SUM(D27:D33)</f>
        <v>200</v>
      </c>
    </row>
    <row r="35" spans="1:4" x14ac:dyDescent="0.35">
      <c r="A35" s="154"/>
      <c r="B35" s="141"/>
      <c r="D35" s="104"/>
    </row>
    <row r="36" spans="1:4" x14ac:dyDescent="0.35">
      <c r="A36" s="413"/>
      <c r="B36" s="363"/>
      <c r="C36" s="363"/>
      <c r="D36" s="414"/>
    </row>
    <row r="37" spans="1:4" x14ac:dyDescent="0.35">
      <c r="A37" s="114"/>
      <c r="B37" s="159"/>
      <c r="C37" s="149"/>
      <c r="D37" s="104"/>
    </row>
    <row r="38" spans="1:4" x14ac:dyDescent="0.35">
      <c r="A38" s="154" t="s">
        <v>102</v>
      </c>
      <c r="B38" s="141" t="s">
        <v>103</v>
      </c>
      <c r="D38" s="104"/>
    </row>
    <row r="39" spans="1:4" x14ac:dyDescent="0.35">
      <c r="A39" s="114" t="s">
        <v>98</v>
      </c>
      <c r="B39" s="141" t="s">
        <v>104</v>
      </c>
      <c r="D39" s="104"/>
    </row>
    <row r="40" spans="1:4" x14ac:dyDescent="0.35">
      <c r="A40" s="154"/>
      <c r="B40" s="141"/>
      <c r="D40" s="104"/>
    </row>
    <row r="41" spans="1:4" x14ac:dyDescent="0.35">
      <c r="A41" s="154"/>
      <c r="B41" s="141"/>
      <c r="D41" s="104"/>
    </row>
    <row r="42" spans="1:4" x14ac:dyDescent="0.35">
      <c r="A42" s="154"/>
      <c r="B42" s="141"/>
      <c r="D42" s="104"/>
    </row>
    <row r="43" spans="1:4" x14ac:dyDescent="0.35">
      <c r="A43" s="154"/>
      <c r="B43" s="141"/>
      <c r="D43" s="104"/>
    </row>
    <row r="44" spans="1:4" x14ac:dyDescent="0.35">
      <c r="A44" s="154"/>
      <c r="B44" s="141"/>
      <c r="D44" s="104"/>
    </row>
    <row r="45" spans="1:4" x14ac:dyDescent="0.35">
      <c r="A45" s="114" t="s">
        <v>100</v>
      </c>
      <c r="B45" s="141"/>
      <c r="C45" s="47" t="s">
        <v>30</v>
      </c>
      <c r="D45" s="104"/>
    </row>
    <row r="46" spans="1:4" ht="15" thickBot="1" x14ac:dyDescent="0.4">
      <c r="A46" s="160"/>
      <c r="B46" s="161"/>
      <c r="C46" s="127"/>
      <c r="D46" s="128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4.5" x14ac:dyDescent="0.35"/>
  <cols>
    <col min="1" max="1" width="7.81640625" customWidth="1"/>
    <col min="3" max="3" width="34" customWidth="1"/>
    <col min="4" max="4" width="14.26953125" customWidth="1"/>
    <col min="5" max="5" width="23.26953125" customWidth="1"/>
    <col min="6" max="6" width="15.1796875" customWidth="1"/>
    <col min="9" max="9" width="11.26953125" customWidth="1"/>
    <col min="10" max="10" width="30.7265625" customWidth="1"/>
    <col min="12" max="12" width="15.54296875" customWidth="1"/>
    <col min="13" max="13" width="15.7265625" customWidth="1"/>
  </cols>
  <sheetData>
    <row r="1" spans="1:13" ht="23.5" x14ac:dyDescent="0.55000000000000004">
      <c r="A1" s="415" t="s">
        <v>108</v>
      </c>
      <c r="B1" s="416"/>
      <c r="C1" s="416"/>
      <c r="D1" s="416"/>
      <c r="E1" s="416"/>
      <c r="F1" s="417"/>
      <c r="H1" s="415" t="s">
        <v>112</v>
      </c>
      <c r="I1" s="416"/>
      <c r="J1" s="416"/>
      <c r="K1" s="416"/>
      <c r="L1" s="416"/>
      <c r="M1" s="417"/>
    </row>
    <row r="2" spans="1:13" ht="18.5" x14ac:dyDescent="0.45">
      <c r="A2" s="418" t="s">
        <v>91</v>
      </c>
      <c r="B2" s="419"/>
      <c r="C2" s="419"/>
      <c r="D2" s="419"/>
      <c r="E2" s="419"/>
      <c r="F2" s="420"/>
      <c r="H2" s="418" t="s">
        <v>91</v>
      </c>
      <c r="I2" s="419"/>
      <c r="J2" s="419"/>
      <c r="K2" s="419"/>
      <c r="L2" s="419"/>
      <c r="M2" s="420"/>
    </row>
    <row r="3" spans="1:13" x14ac:dyDescent="0.35">
      <c r="A3" s="154"/>
      <c r="B3" s="141"/>
      <c r="F3" s="104"/>
      <c r="H3" s="103"/>
      <c r="M3" s="104"/>
    </row>
    <row r="4" spans="1:13" x14ac:dyDescent="0.35">
      <c r="A4" s="162"/>
      <c r="B4" s="171"/>
      <c r="C4" s="163"/>
      <c r="D4" s="163"/>
      <c r="E4" s="163"/>
      <c r="F4" s="164"/>
      <c r="H4" s="155" t="s">
        <v>92</v>
      </c>
      <c r="I4" s="144" t="s">
        <v>35</v>
      </c>
      <c r="J4" s="143" t="s">
        <v>109</v>
      </c>
      <c r="K4" s="143" t="s">
        <v>110</v>
      </c>
      <c r="L4" s="166" t="s">
        <v>54</v>
      </c>
      <c r="M4" s="156" t="s">
        <v>93</v>
      </c>
    </row>
    <row r="5" spans="1:13" x14ac:dyDescent="0.35">
      <c r="A5" s="154"/>
      <c r="B5" s="141"/>
      <c r="F5" s="104"/>
      <c r="H5" s="108">
        <v>1</v>
      </c>
      <c r="I5" s="145"/>
      <c r="J5" s="109"/>
      <c r="K5" s="109"/>
      <c r="L5" s="134"/>
      <c r="M5" s="110"/>
    </row>
    <row r="6" spans="1:13" x14ac:dyDescent="0.35">
      <c r="A6" s="155" t="s">
        <v>92</v>
      </c>
      <c r="B6" s="144" t="s">
        <v>35</v>
      </c>
      <c r="C6" s="143" t="s">
        <v>109</v>
      </c>
      <c r="D6" s="143" t="s">
        <v>110</v>
      </c>
      <c r="E6" s="166" t="s">
        <v>54</v>
      </c>
      <c r="F6" s="156" t="s">
        <v>93</v>
      </c>
      <c r="H6" s="108">
        <v>2</v>
      </c>
      <c r="I6" s="145"/>
      <c r="J6" s="109"/>
      <c r="K6" s="109"/>
      <c r="L6" s="134"/>
      <c r="M6" s="110"/>
    </row>
    <row r="7" spans="1:13" ht="21" x14ac:dyDescent="0.35">
      <c r="A7" s="108">
        <v>1</v>
      </c>
      <c r="B7" s="145"/>
      <c r="C7" s="109"/>
      <c r="D7" s="109"/>
      <c r="E7" s="167"/>
      <c r="F7" s="110"/>
      <c r="H7" s="421" t="s">
        <v>22</v>
      </c>
      <c r="I7" s="422"/>
      <c r="J7" s="422"/>
      <c r="K7" s="422"/>
      <c r="L7" s="429"/>
      <c r="M7" s="110"/>
    </row>
    <row r="8" spans="1:13" x14ac:dyDescent="0.35">
      <c r="A8" s="108">
        <v>2</v>
      </c>
      <c r="B8" s="145"/>
      <c r="C8" s="109"/>
      <c r="D8" s="109"/>
      <c r="E8" s="134"/>
      <c r="F8" s="110"/>
      <c r="H8" s="103"/>
      <c r="M8" s="104"/>
    </row>
    <row r="9" spans="1:13" ht="21" x14ac:dyDescent="0.35">
      <c r="A9" s="421" t="s">
        <v>22</v>
      </c>
      <c r="B9" s="422"/>
      <c r="C9" s="422"/>
      <c r="D9" s="422"/>
      <c r="E9" s="429"/>
      <c r="F9" s="110"/>
      <c r="H9" s="103"/>
      <c r="M9" s="104"/>
    </row>
    <row r="10" spans="1:13" x14ac:dyDescent="0.35">
      <c r="A10" s="154"/>
      <c r="B10" s="141"/>
      <c r="F10" s="104"/>
      <c r="H10" s="103"/>
      <c r="M10" s="104"/>
    </row>
    <row r="11" spans="1:13" x14ac:dyDescent="0.35">
      <c r="A11" s="114"/>
      <c r="B11" s="141"/>
      <c r="F11" s="104"/>
      <c r="H11" s="154"/>
      <c r="I11" s="141"/>
      <c r="M11" s="104"/>
    </row>
    <row r="12" spans="1:13" x14ac:dyDescent="0.35">
      <c r="A12" s="154"/>
      <c r="B12" s="141"/>
      <c r="F12" s="104"/>
      <c r="H12" s="154"/>
      <c r="I12" s="141"/>
      <c r="M12" s="104"/>
    </row>
    <row r="13" spans="1:13" x14ac:dyDescent="0.35">
      <c r="A13" s="154"/>
      <c r="B13" s="141"/>
      <c r="F13" s="104"/>
      <c r="H13" s="154"/>
      <c r="I13" s="141"/>
      <c r="M13" s="104"/>
    </row>
    <row r="14" spans="1:13" x14ac:dyDescent="0.35">
      <c r="A14" s="154"/>
      <c r="B14" s="168" t="s">
        <v>111</v>
      </c>
      <c r="C14" s="47"/>
      <c r="D14" s="169" t="s">
        <v>100</v>
      </c>
      <c r="E14" s="47"/>
      <c r="F14" s="170" t="s">
        <v>30</v>
      </c>
      <c r="H14" s="172" t="s">
        <v>111</v>
      </c>
      <c r="I14" s="47"/>
      <c r="J14" s="169" t="s">
        <v>100</v>
      </c>
      <c r="K14" s="47"/>
      <c r="M14" s="170" t="s">
        <v>30</v>
      </c>
    </row>
    <row r="15" spans="1:13" ht="15" thickBot="1" x14ac:dyDescent="0.4">
      <c r="A15" s="160"/>
      <c r="B15" s="161"/>
      <c r="C15" s="127"/>
      <c r="D15" s="127"/>
      <c r="E15" s="127"/>
      <c r="F15" s="128"/>
      <c r="H15" s="160"/>
      <c r="I15" s="161"/>
      <c r="J15" s="127"/>
      <c r="K15" s="127"/>
      <c r="L15" s="127"/>
      <c r="M15" s="128"/>
    </row>
    <row r="16" spans="1:13" x14ac:dyDescent="0.35">
      <c r="A16" s="154"/>
      <c r="B16" s="141"/>
      <c r="H16" s="47"/>
      <c r="I16" s="141"/>
    </row>
    <row r="17" spans="8:12" x14ac:dyDescent="0.35">
      <c r="H17" s="135"/>
      <c r="I17" s="141"/>
    </row>
    <row r="18" spans="8:12" x14ac:dyDescent="0.35">
      <c r="H18" s="47"/>
      <c r="I18" s="141"/>
    </row>
    <row r="19" spans="8:12" x14ac:dyDescent="0.35">
      <c r="H19" s="47"/>
      <c r="I19" s="141"/>
    </row>
    <row r="20" spans="8:12" x14ac:dyDescent="0.35">
      <c r="H20" s="47"/>
      <c r="I20" s="141"/>
    </row>
    <row r="21" spans="8:12" x14ac:dyDescent="0.35">
      <c r="H21" s="135"/>
      <c r="I21" s="141"/>
      <c r="K21" s="47"/>
      <c r="L21" s="47"/>
    </row>
    <row r="22" spans="8:12" x14ac:dyDescent="0.35">
      <c r="H22" s="47"/>
      <c r="I22" s="141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3. B2B-Non Power</vt:lpstr>
      <vt:lpstr>Goods Delivery Voucher</vt:lpstr>
      <vt:lpstr>Conveyance Voucher</vt:lpstr>
      <vt:lpstr>4. Goods Sending Expense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 Ahmed</cp:lastModifiedBy>
  <cp:lastPrinted>2026-01-22T05:30:38Z</cp:lastPrinted>
  <dcterms:created xsi:type="dcterms:W3CDTF">2023-01-08T05:51:58Z</dcterms:created>
  <dcterms:modified xsi:type="dcterms:W3CDTF">2026-01-22T05:40:33Z</dcterms:modified>
</cp:coreProperties>
</file>